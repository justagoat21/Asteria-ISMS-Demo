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rop Downs" sheetId="1" r:id="rId4"/>
    <sheet state="visible" name="Overview" sheetId="2" r:id="rId5"/>
    <sheet state="visible" name="Summary" sheetId="3" r:id="rId6"/>
    <sheet state="visible" name="Project Plan" sheetId="4" r:id="rId7"/>
    <sheet state="visible" name="CRF CST 2026" sheetId="5" r:id="rId8"/>
  </sheets>
  <definedNames>
    <definedName hidden="1" localSheetId="4" name="_xlnm._FilterDatabase">'CRF CST 2026'!$A$1:$A$1100</definedName>
  </definedNames>
  <calcPr/>
  <extLst>
    <ext uri="GoogleSheetsCustomDataVersion2">
      <go:sheetsCustomData xmlns:go="http://customooxmlschemas.google.com/" r:id="rId9" roundtripDataChecksum="jg7SvSOu8J9kr8RoP33GF7Yv3tr0na3RHQyEmTxMGL8="/>
    </ext>
  </extLst>
</workbook>
</file>

<file path=xl/sharedStrings.xml><?xml version="1.0" encoding="utf-8"?>
<sst xmlns="http://schemas.openxmlformats.org/spreadsheetml/2006/main" count="1634" uniqueCount="1129">
  <si>
    <t>Preparing Test Procedures</t>
  </si>
  <si>
    <t>Review/ Audit Initiated</t>
  </si>
  <si>
    <t>Fully Achieved</t>
  </si>
  <si>
    <t>Initial PAR mail shared</t>
  </si>
  <si>
    <t>Review/ Audit In Progress</t>
  </si>
  <si>
    <t>Partially Achieved</t>
  </si>
  <si>
    <t>Prerequisite Artefacts Requested - 0% Obtained</t>
  </si>
  <si>
    <t>Review/ Audit Complete</t>
  </si>
  <si>
    <t>Not Achieved</t>
  </si>
  <si>
    <t>Prerequisite Artefacts Requested - 25% Obtained</t>
  </si>
  <si>
    <t>Not Applicable</t>
  </si>
  <si>
    <t>Prerequisite Artefacts Requested - 50% Obtained</t>
  </si>
  <si>
    <t>Prerequisite Artefacts Requested - 75% Obtained</t>
  </si>
  <si>
    <t>Prerequisite Artefacts Requested - 100% Obtained</t>
  </si>
  <si>
    <t>Reviewing Artefacts</t>
  </si>
  <si>
    <t>Walkthrough Planned</t>
  </si>
  <si>
    <t>Walkthrough In Progress - Additional Discussion Required</t>
  </si>
  <si>
    <t>Walkthrough Completed</t>
  </si>
  <si>
    <t>Test of Design in Progress</t>
  </si>
  <si>
    <t>Test of Design Complete - No Test of Effectiveness Required</t>
  </si>
  <si>
    <t>Test of Effectiveness in Progress - Sample Data Shared</t>
  </si>
  <si>
    <t>Test of Effectiveness in Progress - Sample Data Requested</t>
  </si>
  <si>
    <t xml:space="preserve">Analysing Results </t>
  </si>
  <si>
    <t>Discussion of Findings in Progress</t>
  </si>
  <si>
    <t>Finalised Findings</t>
  </si>
  <si>
    <t>Documentation of WP in Progress</t>
  </si>
  <si>
    <t>Documentation of WP Complete</t>
  </si>
  <si>
    <t>Documentation of Audit Report in Progress</t>
  </si>
  <si>
    <t>Documentation of Audit Report Complete</t>
  </si>
  <si>
    <t>Executive Summary</t>
  </si>
  <si>
    <t>Methodology Description</t>
  </si>
  <si>
    <t>Conduct a comprehensive CRF Level 1 Compliance Assessment for Arkan, evaluating its adherence to the Cybersecurity Regulatory Framework (CRF) issued under Authority's Decision No. (424) dated October 2023 by the Communications, Space &amp; Technology Commission (CST), KSA. The assessment is aligned with the CST requirement for all non-CNI ICT and telecom service providers to fully comply with Level 1 controls across all CRF domains and submit a verified audit report to the Authority.</t>
  </si>
  <si>
    <t>Conducted in alignment with ISO 19011:2018 audit principles, using a structured control-wise evaluation methodology. Each CRF CL1 control is tested for:
- Documentation Presence
- Implementation evidence
- Operational effectiveness</t>
  </si>
  <si>
    <t>Risk Level</t>
  </si>
  <si>
    <t>Risk Scoring</t>
  </si>
  <si>
    <t>Impact</t>
  </si>
  <si>
    <t>Likelihood</t>
  </si>
  <si>
    <t>Compliant</t>
  </si>
  <si>
    <t>Achieved Full Implementation</t>
  </si>
  <si>
    <t>Low</t>
  </si>
  <si>
    <t>Medium</t>
  </si>
  <si>
    <t>High</t>
  </si>
  <si>
    <t>Partially Compliant</t>
  </si>
  <si>
    <t>Gaps Present - Per regulation considered as Non-Compliant</t>
  </si>
  <si>
    <t>Low Risk</t>
  </si>
  <si>
    <t>Medium Risk</t>
  </si>
  <si>
    <t>Non-Compliant</t>
  </si>
  <si>
    <t>Not Implemented</t>
  </si>
  <si>
    <t>High Risk</t>
  </si>
  <si>
    <t>N/A due to non-relevance</t>
  </si>
  <si>
    <t>Activities Performed</t>
  </si>
  <si>
    <t>Assessment Scope</t>
  </si>
  <si>
    <t>- Document Review (policies, procedures, logs and the like)
- Stakeholder Interviews (department leads and process owners)
- Technical Walkthroughs (system/tool validation)
- Sample Testing (access lists, incident logs, change requests)
- Gap Analysis &amp; Risk-based Prioritization</t>
  </si>
  <si>
    <t>Standard/ Framework Used</t>
  </si>
  <si>
    <t>CST Cybersecurity Regulatory Framework (CRF), Control Level 1 (CL1)</t>
  </si>
  <si>
    <t>Departments Covered</t>
  </si>
  <si>
    <t>Information Technology, Security Operations, HR, Administration, Risk Management, Procurement, Compliance</t>
  </si>
  <si>
    <t>Systems In-Scope</t>
  </si>
  <si>
    <t>- IT Infrastructure (Servers, Network Devices, Endpoints)
- Identity &amp; Access Management (IAM)
- Backup &amp; Recovery Systems
- Endpoint Protection &amp; SIEM
- Cloud and 3rd-Party Hosted Services (See Notes)
- Change &amp; Incident Management Systems</t>
  </si>
  <si>
    <t>Business Process Assessed</t>
  </si>
  <si>
    <t>- Risk Management
- Access Control
- Asset Management
- Cybersecurity Governance
- Incident Response
- Physical and Logical Security
- Third-party &amp; Cloud Security (See notes)</t>
  </si>
  <si>
    <t>Assessment Timeframe</t>
  </si>
  <si>
    <t>9 Days</t>
  </si>
  <si>
    <t>Communication Matrix</t>
  </si>
  <si>
    <r>
      <rPr>
        <rFont val="Poppins"/>
        <b/>
        <color theme="1"/>
        <sz val="11.0"/>
      </rPr>
      <t>Level 1</t>
    </r>
    <r>
      <rPr>
        <rFont val="Poppins"/>
        <color theme="1"/>
        <sz val="11.0"/>
      </rPr>
      <t xml:space="preserve"> - Arkan Primary SPOC</t>
    </r>
  </si>
  <si>
    <r>
      <rPr>
        <rFont val="Poppins"/>
        <b/>
        <color theme="1"/>
        <sz val="11.0"/>
      </rPr>
      <t>Level 1</t>
    </r>
    <r>
      <rPr>
        <rFont val="Poppins"/>
        <color theme="1"/>
        <sz val="11.0"/>
      </rPr>
      <t xml:space="preserve"> - Arkan Secondary SPOC</t>
    </r>
  </si>
  <si>
    <r>
      <rPr>
        <rFont val="Poppins"/>
        <b/>
        <color theme="1"/>
        <sz val="11.0"/>
      </rPr>
      <t>Level 2</t>
    </r>
    <r>
      <rPr>
        <rFont val="Poppins"/>
        <color theme="1"/>
        <sz val="11.0"/>
      </rPr>
      <t xml:space="preserve"> - Arkan Escalation SPOC</t>
    </r>
  </si>
  <si>
    <r>
      <rPr>
        <rFont val="Poppins"/>
        <b/>
        <color theme="1"/>
        <sz val="11.0"/>
      </rPr>
      <t>Level 1</t>
    </r>
    <r>
      <rPr>
        <rFont val="Poppins"/>
        <color theme="1"/>
        <sz val="11.0"/>
      </rPr>
      <t xml:space="preserve"> - MCS Primary SPOC</t>
    </r>
  </si>
  <si>
    <r>
      <rPr>
        <rFont val="Poppins"/>
        <b/>
        <color theme="1"/>
        <sz val="11.0"/>
      </rPr>
      <t>Level 1</t>
    </r>
    <r>
      <rPr>
        <rFont val="Poppins"/>
        <color theme="1"/>
        <sz val="11.0"/>
      </rPr>
      <t xml:space="preserve"> - MCS Secondary SPOC</t>
    </r>
  </si>
  <si>
    <r>
      <rPr>
        <rFont val="Poppins"/>
        <b/>
        <color theme="1"/>
        <sz val="11.0"/>
      </rPr>
      <t>Level 1</t>
    </r>
    <r>
      <rPr>
        <rFont val="Poppins"/>
        <color theme="1"/>
        <sz val="11.0"/>
      </rPr>
      <t xml:space="preserve"> - MCS Project Manager</t>
    </r>
  </si>
  <si>
    <r>
      <rPr>
        <rFont val="Poppins"/>
        <b/>
        <color theme="1"/>
        <sz val="11.0"/>
      </rPr>
      <t>Level 2</t>
    </r>
    <r>
      <rPr>
        <rFont val="Poppins"/>
        <color theme="1"/>
        <sz val="11.0"/>
      </rPr>
      <t xml:space="preserve"> - MCS Escalation SPOC</t>
    </r>
  </si>
  <si>
    <t>Summary</t>
  </si>
  <si>
    <t>Domain</t>
  </si>
  <si>
    <t>Total Controls</t>
  </si>
  <si>
    <t>Non- Compliant</t>
  </si>
  <si>
    <t>Compliance %</t>
  </si>
  <si>
    <t>Governance</t>
  </si>
  <si>
    <t>Cybersecurity Strategy</t>
  </si>
  <si>
    <t>Cybersecurity Management</t>
  </si>
  <si>
    <t>Cybersecurity Compliance</t>
  </si>
  <si>
    <t>Cybersecurity Audit</t>
  </si>
  <si>
    <t>Cybersecurity Awareness and Training</t>
  </si>
  <si>
    <t>Customer Cybersecurity Awareness</t>
  </si>
  <si>
    <t>Cybersecurity in Project Management</t>
  </si>
  <si>
    <t>Cybersecurity in Human Resources</t>
  </si>
  <si>
    <t>Asset Management</t>
  </si>
  <si>
    <t>Asseet Discovery</t>
  </si>
  <si>
    <t>Asset Classification</t>
  </si>
  <si>
    <t>BYOD</t>
  </si>
  <si>
    <t>Not Applicable per Business Environment</t>
  </si>
  <si>
    <t>NA</t>
  </si>
  <si>
    <t>Acceptable Use of Information Assets</t>
  </si>
  <si>
    <t>Asset Maintenance</t>
  </si>
  <si>
    <t>Secure Disposal of Assets</t>
  </si>
  <si>
    <t>Cybersecurity Risk Management</t>
  </si>
  <si>
    <t>Cybersecurity Risk Assessment</t>
  </si>
  <si>
    <t>Cybersecurity Risk Treatment and Planning</t>
  </si>
  <si>
    <t>Logical Security</t>
  </si>
  <si>
    <t>Cryptography</t>
  </si>
  <si>
    <t>Change Management</t>
  </si>
  <si>
    <t>Vulnerablity Management</t>
  </si>
  <si>
    <t>Patch Management</t>
  </si>
  <si>
    <t>Network Security</t>
  </si>
  <si>
    <t>Logging and Monitoring</t>
  </si>
  <si>
    <t>Identity and Access Management</t>
  </si>
  <si>
    <t>Application Whitelisting</t>
  </si>
  <si>
    <t>Incident Management</t>
  </si>
  <si>
    <t>Malware Handling</t>
  </si>
  <si>
    <t>Information Protection</t>
  </si>
  <si>
    <t>Backup and Recovery Management</t>
  </si>
  <si>
    <t>Configuration Management and Handling</t>
  </si>
  <si>
    <t>Secure Software Development</t>
  </si>
  <si>
    <t>eMail and Web Browser Protection</t>
  </si>
  <si>
    <t>Penetration Testing</t>
  </si>
  <si>
    <t>Physical Security</t>
  </si>
  <si>
    <t>Protection of Physical Information Assets</t>
  </si>
  <si>
    <t>Physical Access Management</t>
  </si>
  <si>
    <t>Third Party Security</t>
  </si>
  <si>
    <t>Cloud Services</t>
  </si>
  <si>
    <t>Outsourcing Services</t>
  </si>
  <si>
    <t>Overall Compliance</t>
  </si>
  <si>
    <t>Project Plan</t>
  </si>
  <si>
    <t>Phase 1 - Project Initiation &amp; Planning</t>
  </si>
  <si>
    <t>Date</t>
  </si>
  <si>
    <t>Task</t>
  </si>
  <si>
    <t>Inputs</t>
  </si>
  <si>
    <t>Outputs</t>
  </si>
  <si>
    <t>Status</t>
  </si>
  <si>
    <t>SPOC</t>
  </si>
  <si>
    <t>Define scope and identify CRF domains</t>
  </si>
  <si>
    <t>Proposal, Initial Scoping Call, CRF Framework</t>
  </si>
  <si>
    <t>Scope Definition Sheet</t>
  </si>
  <si>
    <t>Planned</t>
  </si>
  <si>
    <t>Conduct kickoff meeting and assign SPOC</t>
  </si>
  <si>
    <t>Stakeholder List</t>
  </si>
  <si>
    <t>Kickoff Minutes, SPOC Assignment</t>
  </si>
  <si>
    <t>Share Assessment Plan, ERL, Communication Matrix</t>
  </si>
  <si>
    <t>Audit Framework Templates</t>
  </si>
  <si>
    <t>Shared Audit Plan, ERL, Communication Plan</t>
  </si>
  <si>
    <t>Finalize schedule and obtain approval</t>
  </si>
  <si>
    <t>Project Plan Draft</t>
  </si>
  <si>
    <t>Approved Timeline</t>
  </si>
  <si>
    <t>Phase 2 – Documentation Review and Evidence Collection</t>
  </si>
  <si>
    <t>Collect policies, standards, system diagrams, logs</t>
  </si>
  <si>
    <t>ERL, Access from IT</t>
  </si>
  <si>
    <t>Document Inventory Checklist</t>
  </si>
  <si>
    <t>Review documents vs CRF CL1 controls</t>
  </si>
  <si>
    <t>CRF Control Matrix, Docs</t>
  </si>
  <si>
    <t>Compliance Mapping Notes</t>
  </si>
  <si>
    <t>Verify version control, approval, enforcement</t>
  </si>
  <si>
    <t>Policy Index, Approvals</t>
  </si>
  <si>
    <t>Version Control Matrix</t>
  </si>
  <si>
    <t>Map documents to controls and flag gaps</t>
  </si>
  <si>
    <t>Evidence Index Template</t>
  </si>
  <si>
    <t>Initial Evidence Index (v1)</t>
  </si>
  <si>
    <t>Phase 3 – Technical Validation and Stakeholder Interviews</t>
  </si>
  <si>
    <t>Conduct interviews with IT, HR, Risk, DevOps</t>
  </si>
  <si>
    <t>Interview Schedule</t>
  </si>
  <si>
    <t>Interview Notes</t>
  </si>
  <si>
    <t>Validate policy implementation vs practice</t>
  </si>
  <si>
    <t>Audit Plan, Controls List</t>
  </si>
  <si>
    <t>Interview Feedback Summary</t>
  </si>
  <si>
    <t>System walkthroughs (AD, Firewall, Backup, etc.)</t>
  </si>
  <si>
    <t>Admin Access (Read-Only), Tools Access</t>
  </si>
  <si>
    <t>Screenshots, Config Logs</t>
  </si>
  <si>
    <t>Update Evidence Index with technical validation</t>
  </si>
  <si>
    <t>Evidence Index (v1)</t>
  </si>
  <si>
    <t>Evidence Index (v2)</t>
  </si>
  <si>
    <t>Phase 4 – Control Scoring and Gap Analysis</t>
  </si>
  <si>
    <t>Score each control (Implemented / Not Implemented)</t>
  </si>
  <si>
    <t>Evidence Index (v2), CRF Template</t>
  </si>
  <si>
    <t>Control Score Sheet</t>
  </si>
  <si>
    <t>Identify control deficiencies and risks</t>
  </si>
  <si>
    <t>Interview Notes, Validation Logs</t>
  </si>
  <si>
    <t>Observations Log</t>
  </si>
  <si>
    <t>Create Gap Register with priority and root cause</t>
  </si>
  <si>
    <t>Risk Rating Template</t>
  </si>
  <si>
    <t>Final Gap Register</t>
  </si>
  <si>
    <t>Map gaps to CST CRF Audit Form</t>
  </si>
  <si>
    <t>CRF Audit Form Template</t>
  </si>
  <si>
    <t>Draft CST Audit Form</t>
  </si>
  <si>
    <t>Phase 5 – Reporting and Compliance Submission</t>
  </si>
  <si>
    <t>Compile CRF Audit Report and CST forms</t>
  </si>
  <si>
    <t>Gap Register, Score Sheet</t>
  </si>
  <si>
    <t>Draft Report &amp; Forms</t>
  </si>
  <si>
    <t>QA and internal peer review</t>
  </si>
  <si>
    <t>QA Checklist</t>
  </si>
  <si>
    <t>Reviewed Audit Package</t>
  </si>
  <si>
    <t>Finalize and share Evidence Index</t>
  </si>
  <si>
    <t>Final Index (v3)</t>
  </si>
  <si>
    <t>Present Executive Summary to Arkan</t>
  </si>
  <si>
    <t>Summary Report</t>
  </si>
  <si>
    <t>Executive Presentation</t>
  </si>
  <si>
    <t>Support CST Submission</t>
  </si>
  <si>
    <t>Full Audit Pack</t>
  </si>
  <si>
    <t>Submission Confirmation</t>
  </si>
  <si>
    <t>Arkan  | Cybersecurity Risk Framework - Level 1-3 Compliance Gap Assessment</t>
  </si>
  <si>
    <t>Compliance Review Period</t>
  </si>
  <si>
    <t>1st June 2025 to 16th June</t>
  </si>
  <si>
    <t>Level</t>
  </si>
  <si>
    <t xml:space="preserve">Control ID </t>
  </si>
  <si>
    <t>Control Family</t>
  </si>
  <si>
    <t>Control Description (as Per CST CRF requirements)</t>
  </si>
  <si>
    <t>Test Plan</t>
  </si>
  <si>
    <t>Required Evidence</t>
  </si>
  <si>
    <t>Findings</t>
  </si>
  <si>
    <t>Gaps Identified</t>
  </si>
  <si>
    <t>Risk Rating</t>
  </si>
  <si>
    <t>Recommended Action Plan</t>
  </si>
  <si>
    <t>Objective 1.1 - Define a cybersecurity strategy and develop an implementation roadmap to achieve the defined objectives of the strategy
Objective 1.2 - Define and implement the relevant cybersecurity organization structure that will be responsible for the cybersecurity activities within the organization
Objective 1.3 - Ensure compliance with internal and relevant external (national, international) regulatory requirements
Objective 1.4 - Conduct periodic independent cybersecurity audits covering the internal and external compliance requirements to measure the compliance level of the organization
Objective 1.5 - Conduct periodic cybersecurity awareness &amp; trainings to ensure their personnel has the necessary qualifications and skills to carry out their responsibilities
Objective 1.6 - Provide their customers with relevant cybersecurity information related to the provided services to improve the cybersecurity awareness 
Objective 1.7 - Ensure organizational-defined cybersecurity requirements are included in the applied project management methodology
Objective 1.8 - Ensure cybersecurity requirements related to human resources are addressed in case of any changes of employment status</t>
  </si>
  <si>
    <t>1.1.1</t>
  </si>
  <si>
    <t>Define and document requirements for the Cybersecurity Strategy which consider the following:
- Overall mission, objectives and activities of the organization in relation to cybersecurity
- Relevant legislative and regulatory compliance requirements
- Establishment of the cybersecurity program
- Top management commitment towards cybersecurity</t>
  </si>
  <si>
    <t>- Verify the existence of a documented Cybersecurity Strategy.
- Review whether the strategy includes reference to the organization’s mission, cybersecurity objectives, and activities.
- Check mapping of applicable laws, regulations, and compliance frameworks.
- Confirm presence of formal documentation on how the cybersecurity program was established.
- Look for top management’s stated commitment in the document (foreword, approval, or direct statements).</t>
  </si>
  <si>
    <t>- Cybersecurity Strategy document
- Mapping of cybersecurity objectives to business goals
- Legal/regulatory applicability checklist
- Signed cover letter or approval email from executive leadership</t>
  </si>
  <si>
    <t>It was observed that the organization has defined and documented its Cybersecurity Strategy within the ISMS Program (ARK-IS-ISO-ISMS, Ver 1.1, Section 4.2), addressing the organization's mission, business activities, regulatory requirements including the CST CRF, and the establishment of the cybersecurity program. Top management commitment is further reinforced through the Information Security Policy (ARK-IS-ISO-00, Ver 2.0).</t>
  </si>
  <si>
    <t>Implemented</t>
  </si>
  <si>
    <t>1.1.2</t>
  </si>
  <si>
    <t>Ensure that the Cybersecurity Strategy is approved by the top management</t>
  </si>
  <si>
    <t>- Validate that the Cybersecurity Strategy has been formally approved.
- Confirm the presence of signed approval or endorsement by executive management.
- Cross-check if approval was granted through formal meetings (e.g., board, steering committee)</t>
  </si>
  <si>
    <r>
      <rPr>
        <rFont val="Poppins"/>
        <color theme="1"/>
        <sz val="12.0"/>
      </rPr>
      <t xml:space="preserve">- Signed approval page of the strategy document
- Board or Steering Committee meeting minutes
</t>
    </r>
    <r>
      <rPr>
        <rFont val="Poppins"/>
        <b/>
        <color theme="1"/>
        <sz val="12.0"/>
      </rPr>
      <t>- Email/official communication confirming approval from top management</t>
    </r>
  </si>
  <si>
    <t xml:space="preserve">It was noted that the Cybersecurity Strategy is approved by Top Management as part of the ISMS Program (ARK-IS-ISO-ISMS, Ver 1.1), with the CEO, Mr. Hussam Fawzy, documented as Reviewer/Approver in the Document Control section. </t>
  </si>
  <si>
    <t>1.1.3</t>
  </si>
  <si>
    <t>Ensure that the Action Plan for the implementation of the cybersecurity strategy considers the following:
• Activities
• Budget
• Timeline
• Resources (e.g. capabilities, personnel)</t>
  </si>
  <si>
    <t>- Review the Action Plan to verify inclusion of each of the listed elements.
- Ensure there is detailed budgeting for each cybersecurity initiative
- Confirm allocation of resources (named individuals/teams or departments)
- Match activities to timelines and assigned responsibilities</t>
  </si>
  <si>
    <r>
      <rPr>
        <rFont val="Poppins"/>
        <color theme="1"/>
        <sz val="12.0"/>
      </rPr>
      <t xml:space="preserve">- </t>
    </r>
    <r>
      <rPr>
        <rFont val="Poppins"/>
        <b/>
        <color theme="1"/>
        <sz val="12.0"/>
      </rPr>
      <t>Cybersecurity Strategy Action Plan/ RISK REGISTER/ CORRECTIVE ACTION PLAN DOCUMENTATION</t>
    </r>
    <r>
      <rPr>
        <rFont val="Poppins"/>
        <color theme="1"/>
        <sz val="12.0"/>
      </rPr>
      <t xml:space="preserve">
- Gantt chart/project plan or implementation roadmap
- RACI matrix or resource planning documentation</t>
    </r>
  </si>
  <si>
    <t xml:space="preserve">The organization has established a documented Action Plan (ARK-IS-ISO-ISMS, Ver 1.1, Section 5.5.2) covering eight objectives, each with defined activities, resources, budget considerations, responsibilities, and timelines. </t>
  </si>
  <si>
    <t>1.1.4</t>
  </si>
  <si>
    <t>Continuously measure, review and as per requirements update the [Cybersecurity Strategy] and the corresponding [Action Plan] especially in case of changes in relevant legislative and regulatory requirements, major organizational changes or lessons learned from the implementation of the previous action plans.</t>
  </si>
  <si>
    <t>- Cybersecurity Strategy version history with revision log
- Minutes of periodic review meetings referencing regulatory changes
- Updated Action Plan reflecting lessons learned or organizational changes
- Change log or audit trail documenting trigger events for strategy updates</t>
  </si>
  <si>
    <t xml:space="preserve">It was observed that the Cybersecurity Strategy is subject to at least annual review, with additional triggers including regulatory changes, major organizational changes, and lessons learned, as documented in ARK-IS-ISO-ISMS, Ver 1.1, Section 4.2 and Section 8.3. The release of Ver 1.1 on 25 May 2026 for CST CRF alignment serves as practical evidence of this process. </t>
  </si>
  <si>
    <t>1.2.1</t>
  </si>
  <si>
    <t>Define and document requirements for the Cybersecurity Organization which consider the following:
• A cybersecurity committee and allocating members who represent different areas within the organization
• The needed cybersecurity functions/departments required to implement the Action Plan
• Direct reporting to top management to avoid conflict of interest
• Allocating roles and responsibilities ensuring that the conflicting duties and areas of responsibilities are clearly segregated</t>
  </si>
  <si>
    <t>-Verify the existence of a formal document that outlines the structure of the cybersecurity organization.
- Check whether the cybersecurity committee is defined and includes cross-functional representation.
- Validate that roles and responsibilities are well defined and segregation of duties is documented.
- Confirm that reporting lines avoid conflict of interest and cybersecurity has direct or dotted-line reporting to top management.</t>
  </si>
  <si>
    <r>
      <rPr>
        <rFont val="Poppins"/>
        <color theme="1"/>
        <sz val="12.0"/>
      </rPr>
      <t xml:space="preserve">- </t>
    </r>
    <r>
      <rPr>
        <rFont val="Poppins"/>
        <b/>
        <color theme="1"/>
        <sz val="12.0"/>
      </rPr>
      <t>Cybersecurity organization structure document</t>
    </r>
    <r>
      <rPr>
        <rFont val="Poppins"/>
        <color theme="1"/>
        <sz val="12.0"/>
      </rPr>
      <t xml:space="preserve">
- Cybersecurity committee charter or Terms of Reference (ToR)
</t>
    </r>
    <r>
      <rPr>
        <rFont val="Poppins"/>
        <b/>
        <color theme="1"/>
        <sz val="12.0"/>
      </rPr>
      <t>- Organizational chart indicating reporting lines</t>
    </r>
    <r>
      <rPr>
        <rFont val="Poppins"/>
        <color theme="1"/>
        <sz val="12.0"/>
      </rPr>
      <t xml:space="preserve">
- Role descriptions for cybersecurity functions
- Segregation of duties (SoD) matrix</t>
    </r>
  </si>
  <si>
    <t xml:space="preserve">It was further noted that a RACI matrix is documented in the organization's Information Security Policy document (ARK-IS-ISO-POL-00) and other documentations, which clearly defines Responsible, Accountable, Consulted, and Informed roles for key cybersecurity and governance-related processes, strengthening the evidence of structured governance and segregation of duties. This reflects that the needed Cybersecurity Functions are indirectly established through documented policies and the RACI matrix.
It was observed that the organization has defined and documented its Cybersecurity Organization within the Information Security Policy (ARK-IS-ISO-00, Ver 2.0, Sections 23 and 24), establishing a Cybersecurity Committee with representatives from Information Security, IT, Operations, HR, Legal/Compliance, Procurement, Finance, Internal Audit, PMO, and relevant Business Units. Direct reporting to Top Management/CEO is explicitly defined to maintain independence, and conflicting duties are addressed through documented segregation of responsibilities across all functions.
</t>
  </si>
  <si>
    <t>1.2.2</t>
  </si>
  <si>
    <t>Implement the defined Cybersecurity Organization</t>
  </si>
  <si>
    <t>- Validate that the organization structure has been implemented as documented.
- Review appointment letters or formal role assignment communication.</t>
  </si>
  <si>
    <t>Team roster or assignment letters</t>
  </si>
  <si>
    <t>It was noted that the organization has implemented the defined Cybersecurity Organization, as evidenced by the documented organization structure in ARK-IS-ISO-00 (Ver 2.0, Section 23.2) and the organizational chart presented in both ARK-IS-ISO-ISMS (Ver 1.1, Section 10) and ARK-IS-ISO-00 (Ver 2.0, Section 22), reflecting active functions including the Information Security Department, IT, HR, Legal, Finance, and Internal Audit.</t>
  </si>
  <si>
    <t>1.2.3</t>
  </si>
  <si>
    <t>Implement the Action Plan through the defined Cybersecurity Organization</t>
  </si>
  <si>
    <t>- Assess the implementation status of cybersecurity initiatives in the action plan.
- Confirm that execution activities are tracked and reported</t>
  </si>
  <si>
    <r>
      <rPr>
        <rFont val="Poppins"/>
        <color theme="1"/>
        <sz val="12.0"/>
      </rPr>
      <t xml:space="preserve">- </t>
    </r>
    <r>
      <rPr>
        <rFont val="Poppins"/>
        <b/>
        <color theme="1"/>
        <sz val="12.0"/>
      </rPr>
      <t>Project/activity tracker or implementation dashboard</t>
    </r>
    <r>
      <rPr>
        <rFont val="Poppins"/>
        <color theme="1"/>
        <sz val="12.0"/>
      </rPr>
      <t xml:space="preserve">
- Meeting notes from action plan review committees
- Reports or deliverables from cybersecurity team members</t>
    </r>
  </si>
  <si>
    <t>It was observed that the Action Plan (ARK-IS-ISO-ISMS, Ver 1.1, Section 5.5.2) is implemented through the defined Cybersecurity Organization, with responsibilities explicitly assigned across the Information Security Department, Cybersecurity Committee, IT, HR, Legal/Compliance, and Operations for each of the eight defined objectives.</t>
  </si>
  <si>
    <t>1.2.4</t>
  </si>
  <si>
    <t>Oversee the implementation of the Action Plan by the cybersecurity committee by monitoring, dealing with conflicts, and enforcing necessary measures for improvement</t>
  </si>
  <si>
    <t>- Confirm periodic meetings are held to track progress, identify conflicts, and implement corrective measures.
- Review documentation of decisions made to resolve conflicts or improve implementation</t>
  </si>
  <si>
    <r>
      <rPr>
        <rFont val="Poppins"/>
        <color theme="1"/>
        <sz val="12.0"/>
      </rPr>
      <t xml:space="preserve">- Cybersecurity committee meeting agendas and minutes
- </t>
    </r>
    <r>
      <rPr>
        <rFont val="Poppins"/>
        <b/>
        <color theme="1"/>
        <sz val="12.0"/>
      </rPr>
      <t>Action plan progress reports</t>
    </r>
    <r>
      <rPr>
        <rFont val="Poppins"/>
        <color theme="1"/>
        <sz val="12.0"/>
      </rPr>
      <t xml:space="preserve">
- </t>
    </r>
    <r>
      <rPr>
        <rFont val="Poppins"/>
        <b/>
        <color theme="1"/>
        <sz val="12.0"/>
      </rPr>
      <t>Issue tracker or corrective action log</t>
    </r>
    <r>
      <rPr>
        <rFont val="Poppins"/>
        <color theme="1"/>
        <sz val="12.0"/>
      </rPr>
      <t xml:space="preserve">
- Escalation/resolution logs</t>
    </r>
  </si>
  <si>
    <t>It was noted that the organization has established oversight mechanisms for the Cybersecurity Committee, as documented in ARK-IS-ISO-00 (Ver 2.0, Section 23.1), whereby the committee monitors action plan progress, addresses conflicts and dependencies, escalates issues, and recommends corrective actions. Committee outcomes, decisions, and assigned actions are documented and retained as governance evidence.</t>
  </si>
  <si>
    <t>1.2.5</t>
  </si>
  <si>
    <t xml:space="preserve">Continuously measure, review and optimize requirements for the [Cybersecurity Organization] to ensure an efficient Cybersecurity Organization. </t>
  </si>
  <si>
    <t>- Periodic review records for the Cybersecurity Organization structure
- Updated organizational chart or RACI matrix (version-controlled)
- Minutes of governance reviews assessing organizational effectiveness
- Optimization recommendations and implementation evidence</t>
  </si>
  <si>
    <t>was observed that the Cybersecurity Organization is subject to continuous review through the Management Review process (ARK-IS-ISO-ISMS, Ver 1.1, Section 8.3), which explicitly includes Cybersecurity Organization effectiveness</t>
  </si>
  <si>
    <t>1.3.1</t>
  </si>
  <si>
    <t>Define and document Requirements for Cybersecurity Compliance which consider the following:
• Relevant national legislative and regulatory requirements related to cybersecurity
• Locally accredited international/cross-border requirements (e.g. included in internationally agreements or commitments)
• Organization's internal requirements</t>
  </si>
  <si>
    <t>- Review the documented compliance requirements to ensure inclusion of national laws (e.g. NCA, CST, SAMA), international obligations, and internal policies.
- Confirm that the document lists specific regulations applicable to the organization’s sector and geography.
- Cross-verify if internal requirements include any board-level directives, operational policies, or customer obligations.</t>
  </si>
  <si>
    <t>- Regulatory Applicability Matrix or similar from Legal Team
- Internal policy reference mapping
- Legal register for cybersecurity-related obligations</t>
  </si>
  <si>
    <t>It was observed that the organization has defined and documented its cybersecurity compliance requirements within the ISMS Program (ARK-IS-ISO-ISMS, Ver 1.1, Section 11.2) through a formal Legal, Statutory, Regulatory &amp; Contractual Requirements Register comprising 11 entries. The register covers national legislative requirements (Egyptian Cybercrime Law), regulatory obligations (NTRA, CST CRF, NCA ECC), cross-border legal requirements (UAE Data Protection Law), international standards (ISO/IEC 27001:2022), licensing obligations, contractual commitments (Customer SLAs, NDAs), and internal cybersecurity requirements, with each entry specifying scope and ownership.</t>
  </si>
  <si>
    <t>1.3.2</t>
  </si>
  <si>
    <t>Define and implement the Compliance Process to ensure compliance requirements are identified periodically, documented and communicated (e.g. when new regulatory requirements become effective, necessity to update the organization's cybersecurity requirements)</t>
  </si>
  <si>
    <t>- Assess the process document that governs compliance identification, tracking, and communication.
- Confirm the frequency of regulatory review or triggers for re-assessment (e.g. quarterly, annually, or per regulatory update).
- Verify communication logs or meeting minutes that disseminate compliance requirements internally</t>
  </si>
  <si>
    <t>- Regulatory update notification logs
- Internal memos/emails sharing regulatory updates
- Cybersecurity compliance tracking log</t>
  </si>
  <si>
    <t>It was noted that the organization has defined and implemented a Compliance Management Process (ARK-IS-ISO-ISMS, Ver 1.1, Section 11.1.4), whereby the ISMS Manager, in coordination with Legal/Compliance, IT, and Operations, reviews applicable requirements at least annually or upon new or changed obligations becoming effective. Changes in compliance obligations are assessed for their impact on the ISMS, risk assessment, SoA, policies, and controls, and are communicated through approved procedures and Management Review outputs.</t>
  </si>
  <si>
    <t>1.3.3</t>
  </si>
  <si>
    <t>Ensure the compliance requirements are incorporated within the organization</t>
  </si>
  <si>
    <t>- Map compliance requirements to policies, procedures, and controls within the organization.
- Validate incorporation by checking if compliance requirements are included in ISMS/CSMS and other governance documents.
- Review how changes in requirements are integrated into existing controls.</t>
  </si>
  <si>
    <t>- Policy and procedure documents reflecting regulatory clauses
- Compliance traceability matrix
- Review records or meeting minutes validating incorporation
- Control implementation checklist</t>
  </si>
  <si>
    <t>It was observed that compliance requirements are incorporated into the organization through multiple mechanisms, including approved policies and procedures, risk treatment activities, control implementation, contractual clauses, and awareness programs, as documented in ARK-IS-ISO-ISMS (Ver 1.1, Section 11.1.4). The Information Security Policy (ARK-IS-ISO-00, Ver 2.0, Section 19) further reinforces this by explicitly committing Arkan to comply with all applicable legal, regulatory, and contractual obligations, with responsibilities assigned across the ISMS Manager, Legal/Compliance, Department Heads, and Top Management.</t>
  </si>
  <si>
    <t>1.3.4</t>
  </si>
  <si>
    <t>Continuously measure, review and optimize the [Requirements for Cybersecurity Compliance] as well as the effectiveness of the process to ensure compliance.</t>
  </si>
  <si>
    <t>- Compliance review meeting minutes or records
- Updated Regulatory Applicability Matrix with version history
- Records of compliance process effectiveness reviews
- Evidence of compliance gap closure tracking</t>
  </si>
  <si>
    <t>It was noted that the organization has established a continuous review mechanism for compliance requirements, with the register subject to annual review or earlier upon publication of new laws, regulatory updates, new customer contracts, or audit findings, as documented in ARK-IS-ISO-ISMS (Ver 1.1, Section 11.1.3). The effectiveness of the Compliance Management Process is explicitly included as a mandatory Management Review input (Section 8.3), covering compliance assessment results, nonconformities, corrective actions, and gaps, with corresponding improvement decisions documented as outputs.</t>
  </si>
  <si>
    <t>1.4.1</t>
  </si>
  <si>
    <t>Define and document [Requirements for Cybersecurity Audit] which consider the following: 1- Conducting independent and periodical audits (e.g. conduct audits at least once a year for critical systems) 
2-Protection and retention of [Audit Records] 
3-Reporting to top management</t>
  </si>
  <si>
    <t>- Requirements for Cybersecurity Audit document
- Audit charter or policy defining independence, frequency, and scope
- Audit records retention and protection policy
- Approval documentation from top management for audit requirements</t>
  </si>
  <si>
    <t>It was observed that the organization has documented requirements for cybersecurity audits within the ISMS Program (ARK-IS-ISO-ISMS, Ver 1.1, Section 8.2), specifying independence of auditors, annual frequency for critical systems, additional audits triggered by significant changes, protection and retention of audit records through approved document control and access control mechanisms, and reporting of audit results to Top Management. The Audit Review Report (ARK-IS-ISO-11, Ver 1.0) further demonstrates these requirements in practice, with the CEO, Mr. Hussam Fawzy, documented as Reviewer/Approver.</t>
  </si>
  <si>
    <t>1.4.2</t>
  </si>
  <si>
    <t>Define and implement {Internal Audit} process to verify the compliance with the identified      [Requirements for Cybersecurity Compliance].</t>
  </si>
  <si>
    <t>- Internal Audit Process document or procedure
- Internal audit schedule and scoping records
- Internal audit reports with compliance findings
- Audit trail of compliance verification activities</t>
  </si>
  <si>
    <t>It was noted that the organization has defined and implemented a formal Internal Audit process, as evidenced by the Audit Review Report (ARK-IS-ISO-11, Ver 1.0), which documents a structured methodology encompassing information collection, scoping, documentation review, interviews, pre-reporting, and follow-up. The audit covered HR, Physical Security, Information Security, and IT teams, with findings categorized by severity (Minor, Major, Enhancement) and linked to corrective actions, responsible teams, statuses, and target dates.</t>
  </si>
  <si>
    <t>1.4.3</t>
  </si>
  <si>
    <t>Conduct independent audits at planned intervals (or when significant changes occur) to review the implementation of the [Requirements for Cybersecurity Compliance] in the organization.</t>
  </si>
  <si>
    <t>- Independent audit engagement letter or contract
- Audit reports from independent/third-party auditors
- Audit schedule aligned to planned intervals or triggered by significant changes
- Evidence of audit scope coverage across CRF compliance requirements</t>
  </si>
  <si>
    <t>It was observed that an internal audit was conducted commencing January 2026 (ARK-IS-ISO-11, Ver 1.0), covering the full ISMS program scope across IaaS and SIP Trunk services. The ISMS Program (ARK-IS-ISO-ISMS, Ver 1.1, Section 8.2) further specifies that additional independent audits are triggered by significant organizational, technological, or regulatory changes. It is noted, however, that the audit report (ARK-IS-ISO-11) was conducted by the Internal Audit Team; no evidence of a third-party or externally independent audit engagement was presented at the time of assessment.</t>
  </si>
  <si>
    <t>1.4.4</t>
  </si>
  <si>
    <t>Document the findings and recommendations and present them to the top management.</t>
  </si>
  <si>
    <t>- Audit findings and recommendations report
- Board or executive management presentation records
- Meeting minutes confirming delivery of audit report to top management
- Corrective action register linked to audit findings</t>
  </si>
  <si>
    <t>It was observed that audit findings are formally documented within the Audit Review Report (ARK-IS-ISO-11, Ver 1.0) in a structured tabular format capturing findings, ISO references, correction type, corrective actions, involved teams, status, and target dates. The document control section confirms CEO review and approval, and the Management Review Meeting invitation (evidenced in the screenshot dated 27/02/2026) includes audit results and corrective action status as agenda items, confirming delivery to top management.</t>
  </si>
  <si>
    <t>1.4.5</t>
  </si>
  <si>
    <t xml:space="preserve">Protect the [Audit Records] from unauthorized access, modification, and destruction. </t>
  </si>
  <si>
    <t>- Access control list for audit records repository
- Audit log of access attempts to audit records
- Integrity protection configuration (e.g., write-once, hash verification)
- Policy or procedure defining audit record protection controls</t>
  </si>
  <si>
    <t>It was noted that the ISMS Program (ARK-IS-ISO-ISMS, Ver 1.1, Section 8.2) explicitly requires that audit records be protected from unauthorized access, modification, disclosure, destruction, or loss through approved document control, access control, backup, and retention controls. The Audit Review Report (ARK-IS-ISO-11) is classified as Internal Use with defined authorship and approval authority, consistent with the organization's documented information control framework (ARK-IS-ISO-ISMS, Section 6.5).</t>
  </si>
  <si>
    <t>1.4.6</t>
  </si>
  <si>
    <t>Ensure that the audit records are retained as proof for e.g. compliance to legislative and regulatory requirements.</t>
  </si>
  <si>
    <t>- Audit records retention schedule or policy
- Evidence of audit record storage with defined retention period
- Regulatory compliance mapping to retention requirements
- Records inventory confirming audit logs are retained per policy</t>
  </si>
  <si>
    <t>It was observed that the organization has established requirements for audit record retention as formal ISMS evidence, as documented in ARK-IS-ISO-ISMS (Ver 1.1, Section 8.2), which states that audit programs, plans, checklists, evidence, reports, findings, nonconformities, corrective actions, and closure evidence are retained as formal ISMS records. The existence of the Audit Review Report (ARK-IS-ISO-11, Ver 1.0) as a retained, versioned document with document control metadata supports this requirement in practice. It is noted that a specific retention period or schedule was not explicitly cited in the evidence presented.</t>
  </si>
  <si>
    <t>1.4.7</t>
  </si>
  <si>
    <t>Continuously measure, review and optimize the [Requirements for Cybersecurity Audit] as well as the effectiveness of the process and review activities.</t>
  </si>
  <si>
    <t>- Audit program review records and improvement logs
- Updated Requirements for Cybersecurity Audit (version history)
- Effectiveness metrics or KPIs for audit activities
- Periodic management review outcomes related to audit function</t>
  </si>
  <si>
    <t>It was noted that the organization includes audit effectiveness as a mandatory input to Management Review (ARK-IS-ISO-ISMS, Ver 1.1, Section 8.3), covering audit results, nonconformities, corrective actions, and compliance status, with corresponding improvement decisions documented as outputs. The Management Review Meeting invitation (27/02/2026) confirms audit results and corrective action status as standing agenda items. The audit program's version-controlled structure and follow-up date mechanism within ARK-IS-ISO-11 further support continuous optimization of the audit function.</t>
  </si>
  <si>
    <t>1.5.1</t>
  </si>
  <si>
    <t>Define and document Requirements for Cybersecurity Awareness &amp; Training which consider the following:
• Goals and scope
• Number and frequency of trainings/year
• Allocated resources</t>
  </si>
  <si>
    <t>- Review the documented awareness and training requirements.
- Validate inclusion of defined goals (e.g., risk reduction, compliance), scope (target audience, topics), and training frequency.
- Confirm resources are allocated (budget, trainers, tools/platforms)</t>
  </si>
  <si>
    <t>- Cybersecurity Awareness &amp; Training Requirements document
- Training resource plan
- Calendar or schedule for annual cybersecurity training sessions
Please provide evidences of the posters shared with employees, records of employees having completed the e-learning module, schedule and invitation of the virtual workshops (including the attendance reports), and evidence security drills conducted 
- Target audience and training topics mapping</t>
  </si>
  <si>
    <t>The organization has defined and documented awareness and training requirements in ARK-IS-ISO-12 (Ver 2.0), covering goals, scope, frequency, and allocated resources across the Information Security Team, HR, and Senior Management. The training report further evidences implementation, with 100% onboarding training completion recorded across all users in both cohorts.</t>
  </si>
  <si>
    <t>1.5.2</t>
  </si>
  <si>
    <t>Define and implement a Cybersecurity Awareness &amp; Training Program (e.g. defining goals, scope, targeted audience, validation criteria) that includes various cybersecurity topics considering the following:
• Cybersecurity roles and responsibilities of the targeted audience
• Trending Cybersecurity events and threats (e.g. social engineering attacks such as phone scams and impersonation calls)
• Advice to personnel not to attempt unauthorized activities (e.g. introduce or use unauthorized equipment or software on a system, relocate equipment without proper authorization).
• Secure handling of portable devices and storage media, email services (especially spam and phishing emails), internet surfing services and social media
• Clear desk and clear screen policy (e.g. lock sensitive information stored on papers in a safe place, lock screens of computers and/or terminals when not in use or unattended)</t>
  </si>
  <si>
    <t>- Verify that a formal cybersecurity training program exists and is in implementation.
- Validate inclusion of content covering the specific listed topics.
- Review how the training is customized based on audience (e.g. general staff vs. technical).
- Confirm existence of validation mechanisms (quizzes, acknowledgements)</t>
  </si>
  <si>
    <t>- Cybersecurity Awareness &amp; Training Program document
- Sample training decks or LMS module screenshots
- Participation records and feedback reports
- Quiz or assessment results tied to the training</t>
  </si>
  <si>
    <t>ARK-IS-ISO-12 (Ver 2.0) covers all required topics including roles and responsibilities, social engineering, phone scams, unauthorized software/equipment, removable media, email security, internet use, social media, and clear desk/screen policy. The quarterly awareness plan matrix and customer-facing cybersecurity awareness page on the Arkan Help Center further demonstrate active program implementation.</t>
  </si>
  <si>
    <t>1.5.3</t>
  </si>
  <si>
    <t>Enhance and implement the [Requirements for Cybersecurity Awareness &amp; Training] to include periodic validation tests to evaluate the effectiveness of the conducted [Cybersecurity Awareness and Training Program] and record the results of evaluation (e.g. check whether the personnel will click on a suspicious link in an email).</t>
  </si>
  <si>
    <t>- Phishing simulation campaign reports and click-rate statistics
- Training effectiveness evaluation results or quiz scores
- Updated Requirements for Cybersecurity Awareness &amp; Training incorporating validation tests
- Records of periodic validation test results per employee group</t>
  </si>
  <si>
    <t>It was observed that the organization conducts pre- and post-phishing simulation campaigns as documented in the training report. In the first cohort, compromised users dropped from 8/18 to 3/18 post-training, and in the second cohort from 5/8 to 2/8, with reporting rates improving significantly. Results are tracked, recorded, and used to drive remedial training per ARK-IS-ISO-12 (Ver 2.0, Section 6.9).</t>
  </si>
  <si>
    <t>1.5.4</t>
  </si>
  <si>
    <t>Enhance and implement the [Requirements for Cybersecurity Awareness &amp; Training] to define the circumstances under which the [Cybersecurity Awareness &amp; Training Program] have to be provided (e.g. initial cybersecurity trainings to new users, training upon changes to information systems or job roles).</t>
  </si>
  <si>
    <t>- Updated Awareness &amp; Training Requirements defining trigger-based training circumstances
- Onboarding training records for new joiners
- Evidence of training triggered by role changes or system updates
- Training calendar showing circumstance-based sessions</t>
  </si>
  <si>
    <t>ARK-IS-ISO-12 (Ver 2.0, Section 6.4) explicitly defines training triggers: onboarding within 30 days, annually as a mandatory refresher, following incidents or system changes, and upon HR-triggered role changes. The training report confirms 100% onboarding training completion across both user cohorts.</t>
  </si>
  <si>
    <t>1.5.5</t>
  </si>
  <si>
    <t>Tailor the [Cybersecurity Awareness &amp; Training Program] to provide specialized or security-related skills and trainings to targeted group of people considering the following personnel:
·       Cybersecurity department 
·       IT personnel
·       Personnel working in the software development
·       Personnel involved in cybersecurity risk management
·       Personnel with privileged access to critical information assets
·       Executive personnel</t>
  </si>
  <si>
    <t>- Role-specific training curriculum or content for cybersecurity, IT, and privileged user groups
- Specialized training records for cybersecurity staff (e.g., CISM, CISSP certifications)
- Training completion records segmented by targeted personnel group
- Training needs analysis document per role category</t>
  </si>
  <si>
    <t>It was noted that ARK-IS-ISO-12 (Ver 2.0, Section 6.5) includes a role-based training matrix covering all employees, Operations Tiers 1 and 2, Technology/Tier 3, Privileged Access Personnel, Executive Personnel, and the Information Security Team, each with defined specialized training focus areas.</t>
  </si>
  <si>
    <t>1.5.6</t>
  </si>
  <si>
    <t>Continuously measure, review and optimize the [Requirements for Cybersecurity Awareness &amp; Training].</t>
  </si>
  <si>
    <t>- Training program review meeting minutes
- Updated Requirements for Cybersecurity Awareness &amp; Training (version history)
- Effectiveness metrics (participation rates, quiz scores, phishing click rates)
- Annual training program evaluation report</t>
  </si>
  <si>
    <t>major revision issued in May 2026. It was noted that ARK-IS-ISO-12 (Ver 2.0, Section 6.4) explicitly defines the circumstances under which training is required: upon onboarding within 30 days, annually as a mandatory refresher, following major security incidents, upon system changes or evolving threats, and upon HR-triggered events such as role changes or reinstatements.</t>
  </si>
  <si>
    <t>1.6.1</t>
  </si>
  <si>
    <t>Define and document Requirements for Customer Cybersecurity Awareness which consider the following:
• Goals and scope
• Number and frequency of trainings/year
• Allocated resources</t>
  </si>
  <si>
    <t>- Review documented requirements for customer awareness initiatives.
- Validate whether defined goals align with customer risk posture and service types.
- Confirm that frequency (e.g., monthly campaigns, annual webinars) is defined.
- Verify allocation of resources such as awareness content creators, platforms, or support teams.</t>
  </si>
  <si>
    <t>- Customer engagement calendar/ mails shared with clients to safeguard data etc. 
- Governance meeting records approving the strategy</t>
  </si>
  <si>
    <t>It was observed that the organization has defined and documented customer cybersecurity awareness requirements within ARK-IS-ISO-12 (Ver 2.0, Sections 6.11 and 6.12), covering goals and scope, frequency (at least annually and as needed upon emerging threats), and allocated resources across the Information Security Team, Operations/Support Team, and Management. This is further evidenced by the live "Customer Cybersecurity Awareness" page published on the Arkan Help Center (help.arkan.international), providing customers with guidance on phishing, impersonation, credential protection, and suspicious activity reporting through official channels.</t>
  </si>
  <si>
    <t>1.6.2</t>
  </si>
  <si>
    <r>
      <rPr>
        <rFont val="Times New Roman"/>
        <color theme="1"/>
        <sz val="12.0"/>
      </rPr>
      <t>Perform a risk assessment at the beginning and during the course of each project in accordance with the [</t>
    </r>
    <r>
      <rPr>
        <rFont val="Times New Roman"/>
        <b/>
        <color theme="1"/>
        <sz val="12.0"/>
      </rPr>
      <t>Cybersecurity Risk Assessment]</t>
    </r>
    <r>
      <rPr>
        <rFont val="Times New Roman"/>
        <color theme="1"/>
        <sz val="12.0"/>
      </rPr>
      <t xml:space="preserve"> to identify the cybersecurity risks if any and define the mitigation plans.</t>
    </r>
  </si>
  <si>
    <t>It was noted that the organization's ISMS Program (ARK-IS-ISO-ISMS, Ver 1.1, Section 7.4) mandates cybersecurity risk assessments at project initiation and upon significant changes, with results recorded in the project risk register. The Cyber Risk Management Framework documented in ARK-IS-ISO-00 (Ver 2.0, Section 14) further requires risk assessment at the beginning of and throughout any engagement, with treatment decisions documented and approved in line with the organization's risk appetite.</t>
  </si>
  <si>
    <t>1.6.3</t>
  </si>
  <si>
    <r>
      <rPr>
        <rFont val="Times New Roman"/>
        <color theme="1"/>
        <sz val="12.0"/>
      </rPr>
      <t xml:space="preserve">Track the identified cybersecurity risks and monitor the implementation of the mitigation plans during the course of the project. </t>
    </r>
    <r>
      <rPr>
        <rFont val="Times New Roman"/>
        <b/>
        <color theme="1"/>
        <sz val="12.0"/>
      </rPr>
      <t>[Cybersecurity Risk Treatment and Monitoring]</t>
    </r>
    <r>
      <rPr>
        <rFont val="Times New Roman"/>
        <color theme="1"/>
        <sz val="12.0"/>
      </rPr>
      <t>.</t>
    </r>
  </si>
  <si>
    <t>- Risk tracking log or updated risk register with treatment status
- Project progress reports including cybersecurity risk monitoring updates
- Evidence of mitigation plan implementation tracking throughout project lifecycle
- Escalation records for unresolved project cybersecurity risks</t>
  </si>
  <si>
    <t>It was observed that cybersecurity risks and mitigation plans are tracked throughout the project lifecycle per ARK-IS-ISO-ISMS (Ver 1.1, Section 7.4), with high or unresolved risks escalated to the Cybersecurity Committee or Top Management. Risk treatment progress is monitored through KPI dashboards and reviewed during Management Review meetings as a standing agenda item.</t>
  </si>
  <si>
    <t>1.6.4</t>
  </si>
  <si>
    <r>
      <rPr>
        <rFont val="Times New Roman"/>
        <color theme="1"/>
        <sz val="12.0"/>
      </rPr>
      <t xml:space="preserve">Continuously measure, review and optimize the </t>
    </r>
    <r>
      <rPr>
        <rFont val="Times New Roman"/>
        <b/>
        <color theme="1"/>
        <sz val="12.0"/>
      </rPr>
      <t>[Requirements for Cybersecurity in Project Management]</t>
    </r>
    <r>
      <rPr>
        <rFont val="Times New Roman"/>
        <color theme="1"/>
        <sz val="12.0"/>
      </rPr>
      <t>.</t>
    </r>
  </si>
  <si>
    <t>- Requirements for Cybersecurity in Project Management review records
- Updated policy or procedure version history
- Periodic review meeting minutes for project management cybersecurity requirements
- Improvement actions log for project management cybersecurity integration</t>
  </si>
  <si>
    <t>It was observed that customer cybersecurity awareness requirements are continuously reviewed based on incidents, audit findings, emerging threats, and regulatory changes per ARK-IS-ISO-12 (Ver 2.0, Section 6.12), with improvement outcomes reviewed during Management Review (ARK-IS-ISO-ISMS, Section 8.3) and actively reflected in the live Arkan Help Center awareness page.</t>
  </si>
  <si>
    <t>1.7.1</t>
  </si>
  <si>
    <t>Define and document Requirements for Cybersecurity in Project Management which consider the following:
• Defining integration of cybersecurity in project management (e.g. cybersecurity personnel as part of the project team)
• Defining project objectives to ensure that the cybersecurity is included in all phases of the project</t>
  </si>
  <si>
    <t>- Verify the existence of a formal document outlining cybersecurity integration requirements across the project lifecycle.
- Confirm that cybersecurity roles are explicitly identified in project governance models or RACI charts.
- Check project templates and initiation documents to ensure they require cybersecurity objectives and involvement</t>
  </si>
  <si>
    <t>- Project Management Policy/ SDLC Policy/Information Security Policy
- Project governance model or RACI charts
- Project charter/plan templates with cybersecurity sections
- Email assignments or ToR for cybersecurity participation
- Change request forms and tickets
- List of new projects between the assessment period (any recent ones)</t>
  </si>
  <si>
    <t>It was observed that the organization has defined and documented information security in project management requirements within ARK-IS-ISO-19 (Ver 1.0), covering integration of cybersecurity across all project lifecycle phases (Inception through Operate), mandatory inclusion of information security objectives in project objectives, definition of IS roles and responsibilities as part of project teams, and a RACI matrix assigning responsibilities across IT, Information Security, Information Owners, HR, and All Users.</t>
  </si>
  <si>
    <t>1.7.2</t>
  </si>
  <si>
    <t>Perform a risk assessment at the beginning and during the course of each project in accordance with the Cybersecurity Risk Assessment to identify the cybersecurity risks if any and define the mitigation plans.</t>
  </si>
  <si>
    <t>- Review whether cybersecurity risk assessments are mandatory in project kick-off phases and at key milestones.
- Validate risk register entries and mitigation plans specific to the project environment.
- Confirm that risk assessment methodology is aligned with the organizational risk framework</t>
  </si>
  <si>
    <r>
      <rPr>
        <rFont val="Poppins"/>
        <color theme="1"/>
        <sz val="12.0"/>
      </rPr>
      <t xml:space="preserve">- Documented Project-specific cybersecurity risk assessments (from change tickets or project plans)
- </t>
    </r>
    <r>
      <rPr>
        <rFont val="Poppins"/>
        <b/>
        <color theme="1"/>
        <sz val="12.0"/>
      </rPr>
      <t>Project Registers, Risk registers showing updates throughout project lifecycle</t>
    </r>
    <r>
      <rPr>
        <rFont val="Poppins"/>
        <color theme="1"/>
        <sz val="12.0"/>
      </rPr>
      <t xml:space="preserve">
- Mitigation or treatment plans tied to identified risks
- Risk assessment SOP applied in projects</t>
    </r>
  </si>
  <si>
    <t>It was noted that ARK-IS-ISO-19 (Ver 1.0) requires information security risk assessments to be conducted at early project stages, with risks logged in the project risk register, and additional assessments mandated for third-party engagements prior to contract signing. This is further supported by the project lifecycle risk assessment requirements documented in ARK-IS-ISO-ISMS (Ver 1.1, Section 7.4).</t>
  </si>
  <si>
    <t>1.7.3</t>
  </si>
  <si>
    <t>Track the identified cybersecurity risks and monitor the implementation of the mitigation plans during the course of the project. [Cybersecurity Risk Treatment and Monitoring].</t>
  </si>
  <si>
    <t>- Project risk register with cybersecurity risk treatment status
- Progress reports on mitigation plan implementation during project lifecycle
- Cybersecurity review checkpoints documented in project meeting minutes
- Escalation records for risks not resolved within planned timelines</t>
  </si>
  <si>
    <t>It was observed that ARK-IS-ISO-19 (Ver 1.0) requires project risks to be agreed with the project team and monitored on a regular basis, with ongoing security testing and continuous compliance monitoring defined as mandatory activities during the Operate phase of the project lifecycle.</t>
  </si>
  <si>
    <t>1.7.4</t>
  </si>
  <si>
    <t>Continuously measure, review and optimize the [Requirements for Cybersecurity in Project Management].</t>
  </si>
  <si>
    <t>- Periodic review records for Requirements for Cybersecurity in Project Management
- Updated requirements document (version history)
- Lessons learned log from past projects influencing policy updates
- Management approval of updated cybersecurity project management requirements</t>
  </si>
  <si>
    <t>It was noted that ARK-IS-ISO-19 (Ver 1.0, Section 5) is subject to annual review or upon operational changes, with amendments forwarded for stakeholder approval. Cybersecurity in project management effectiveness is also a mandatory Management Review input per ARK-IS-ISO-ISMS (Ver 1.1, Section 8.3), covering project risk status, security review results, and lessons learned.</t>
  </si>
  <si>
    <t>1.8.1</t>
  </si>
  <si>
    <t>Define and document Requirements for Cybersecurity in Human Resources which consider the following:
• Defining cybersecurity requirements related to personnel in the organization including contractors before they are employed, during their work, and upon completion/termination of their work
• Conduct background verification checks on all candidates for employment
• Hiring highly professional personnel on the jobs related to critical systems
• Ensuring that the terms and agreements related to the employment also cover the code of conduct (e.g. non-disclosure agreements, cybersecurity responsibilities) and has been included during and after termination of employment with the organization
• Ensuring that the code of conduct is signed by all the personnel
• Enforcing the Acceptable Use of Information Assets</t>
  </si>
  <si>
    <t>- Review the HR policy to verify inclusion of cybersecurity-related requirements across the employment lifecycle (onboarding to offboarding).
- Check hiring practices and job descriptions for critical systems roles to ensure security competency is required.
- Confirm background checks are performed and documented.
- Verify NDAs and acceptable use acknowledgments are signed and stored.
- Check enforcement mechanisms for Acceptable Use Policy violations</t>
  </si>
  <si>
    <t>- HR policy
- Background verification records
- Job descriptions for cybersecurity or critical roles
- Signed NDAs and Acceptable Use Policies
- HR policy manual referencing cybersecurity obligations</t>
  </si>
  <si>
    <t>The organization has defined and documented HR cybersecurity requirements across the full employee lifecycle in ARK-IS-ISO-20 (Ver 2.0), covering pre-employment background verification (Section 6.2.1), security responsibilities in role definitions (Section 6.2.2), employment agreements including NDAs and code of conduct (Sections 6.2.3–6.2.4), and acceptable use enforcement. Policy acknowledgement via electronic opt-in is evidenced in the HR system screenshots showing signed acknowledgement of ARK-IS-ISO-POL-08 (Acceptable Use Policy) and the Employee Handbook by all personnel. Employee hiring records including security checks, job descriptions, and educational certificates are maintained per employee in a structured HR file system.</t>
  </si>
  <si>
    <t>1.8.2</t>
  </si>
  <si>
    <t>Ensure that necessary actions (e.g. modify access authorizations in accordance with the new operational role) are performed when individuals are reassigned or transferred to other positions within the organization.</t>
  </si>
  <si>
    <t>- Review access modification logs for reassigned personnel.
- Verify whether reassignment triggers a formal role change workflow, including access rights review.
- Confirm role-based access controls are updated accordingly</t>
  </si>
  <si>
    <t>- Change of role access request forms
- Updated access control records (before and after transfer)
- HR role transfer communication logs
- Ticketing system history of access changes</t>
  </si>
  <si>
    <t>ARK-IS-ISO-20 (Ver 2.0, Section 8) defines controls for role changes and internal transfers, requiring access rights to be reviewed, modified, and approved by HR, IT, and Information Security in accordance with least privilege. Access changes are formally requested, approved, and documented.</t>
  </si>
  <si>
    <t>1.8.3</t>
  </si>
  <si>
    <t>Ensure that all suspected breaches of relevant cybersecurity requirements by personnel are subject to a proper investigation and appropriate disciplinary action is taken</t>
  </si>
  <si>
    <t>- Review incident logs and HR disciplinary case files for cybersecurity breaches.
- Confirm existence of an investigation process with roles and responsibilities clearly defined.
- Validate enforcement of disciplinary action policies</t>
  </si>
  <si>
    <r>
      <rPr>
        <rFont val="Poppins"/>
        <color theme="1"/>
        <sz val="12.0"/>
      </rPr>
      <t xml:space="preserve">- </t>
    </r>
    <r>
      <rPr>
        <rFont val="Poppins"/>
        <b/>
        <color theme="1"/>
        <sz val="12.0"/>
      </rPr>
      <t>Incident investigation reports involving personnel actions
- Disciplinary action records, if any (redacted as needed for privacy)</t>
    </r>
    <r>
      <rPr>
        <rFont val="Poppins"/>
        <color theme="1"/>
        <sz val="12.0"/>
      </rPr>
      <t xml:space="preserve">
- Escalation workflow and internal policy on breaches
- Communication to HR/Legal about investigations</t>
    </r>
  </si>
  <si>
    <t>ARK-IS-ISO-20 (Ver 2.0, Section 7) defines a formal disciplinary process covering investigation of violations, proportionate disciplinary actions, and documentation requirements. This is further supported by the ARK-HR-English_Disciplinary_List (Ver 1.0), which formalizes disciplinary consequences, and is acknowledged by all personnel as evidenced in the HR system.</t>
  </si>
  <si>
    <t>1.8.4</t>
  </si>
  <si>
    <t>Ensure necessary actions (e.g. revoking personnel access rights and privileges, retrieving assigned information assets, retaining access to information assets formerly controlled by terminated individual) have been carried out upon completion of professional services or termination of personnel</t>
  </si>
  <si>
    <t>- Check offboarding process to ensure timely revocation of access and return of assets.
- Validate coordination between HR, IT, and security teams during termination.
- Review asset recovery and access deprovisioning records</t>
  </si>
  <si>
    <t>- Termination checklist 
- Access revocation confirmation logs
- Asset return forms and tracking logs
- Final handover or closure email</t>
  </si>
  <si>
    <t>ARK-IS-ISO-20 (Ver 2.0, Section 9) defines termination security controls including prompt access revocation, return of organizational assets, and protection of organizational information. This is evidenced in practice by the offboarding email confirming technical-side completion of access revocation, and a signed Asset Receipt/Return Form documenting retrieval of an assigned laptop upon employee departure.</t>
  </si>
  <si>
    <t>1.8.5</t>
  </si>
  <si>
    <t>Continuously measure, review and optimize the [Requirements for Cybersecurity in Human Resources].</t>
  </si>
  <si>
    <t>- Periodic review records for Requirements for Cybersecurity in Human Resources
- Updated HR Cybersecurity Policy version history
- HR review meeting minutes referencing cybersecurity requirement updates
- Continuous improvement log for HR cybersecurity controls</t>
  </si>
  <si>
    <t>ARK-IS-ISO-20 (Ver 2.0, Section 5) is subject to annual review or upon operational changes, with a major revision issued in May 2026 demonstrating this in practice. HR security effectiveness is also reviewed during Management Review meetings per ARK-IS-ISO-ISMS (Ver 1.1, Section 8.3).</t>
  </si>
  <si>
    <t>Objective 2.1. Maintain an accurate and up-to-date asset inventory of all the information assets that includes all relevant details to facilitate efficient protection of the information assets.
Objective 2.2. Classify the information assets to ensure a risk-based protection of the information assets.
Objective 2.3. Manage the use of personnel devices for business purposes to protect the organization from the cybersecurity risks imposed.
Objective 2.4. Define and enforce the acceptable use policy to protect the organization from the risks imposed by the inappropriate use of information assets.
Objective 2.5. Maintain information assets to ensure their continued availability and integrity.
Objective 2.6. Ensure secure disposal of information assets in order to prevent unauthorized disclosure or modification of information stored on the disposed assets.</t>
  </si>
  <si>
    <t>2.1.1</t>
  </si>
  <si>
    <t>Asset Discovery</t>
  </si>
  <si>
    <t>Define and document [Requirements for Asset Discovery] which consider the following:
• Defining an inventory of information assets [Asset Inventory] (e.g. software, hardware, information, critical information assets, equipment, databases)
• Defining the frequency for the update of the [Asset Inventory]
• Ownership of the information assets</t>
  </si>
  <si>
    <t>- Review documented asset discovery requirements.
- Verify that the document defines the categories of assets, discovery scope, and update frequency.
- Confirm that asset ownership roles are clearly assigned and tracked.
- Review the asset inventory and verify that all assets have clearly assigned owners.
- Confirm that ownership responsibilities are defined and communicated.
- Interview sample asset owners to validate awareness and accountability.</t>
  </si>
  <si>
    <t>- Asset Discovery Requirements document
- Asset Inventory template or structure
- Asset ownership matrix or records
- Review schedule or update policy
-Asset Inventory showing owner fields
- Communication records or role-based assignments
- Asset ownership policy or guidance
- Audit trail for ownership changes</t>
  </si>
  <si>
    <t>It was observed that the organization has formally documented its asset inventory requirements within the Asset Classification &amp; Capacity Management Policy/Procedures (ARK-IS-ISO-03, Ver 2.0). The document defines the scope of the Asset Inventory to include hardware, software, cloud resources, servers, storage, virtual machines, endpoints, and networking equipment. Ownership is addressed through defined roles for Asset Custodians, Data Stewards, and Tier 1/Tier 2 IT teams. The policy further stipulates a monthly review frequency for the Asset Register as reflected in the KPI framework (Section 9).</t>
  </si>
  <si>
    <t>2.1.2</t>
  </si>
  <si>
    <t>Define and implement an (Asset Discovery) process to identify (e.g. using an asset discovery tool) all information assets which belong to the organization and update the [Asset Inventory].</t>
  </si>
  <si>
    <t>- Review the process documentation for asset discovery.
- Verify use of automated discovery tools (e.g. for endpoints, software, network devices).
- Cross-check current inventory entries with discovered assets to confirm completeness and accuracy.</t>
  </si>
  <si>
    <t>- Asset Discovery SOP or flowchart
- Tool configuration screenshots and scan reports, if applicable
- Updated Asset Inventory with tool export logs
- System logs showing discovery frequency, if automated (or using a tool)</t>
  </si>
  <si>
    <t xml:space="preserve">It was noted that the organization has implemented an Asset Discovery process supported by a maintained Asset Inventory Register (ARK-IT-ISO, Ver 2.0). The register is structured across multiple sheets covering OCI, Azure, AWS cloud assets, hardware, software, and laptops — demonstrating active inventory tracking across environments. The Asset Management Workflow (Section 7.2 of ARK-IS-ISO-03) further documents the end-to-end lifecycle from procurement through disposal. </t>
  </si>
  <si>
    <t>2.1.3</t>
  </si>
  <si>
    <t>Review and update the [Asset Inventory] based on the frequency defined in the requirements or whenever there are modifications to the information assets (i.e. addition and removal of assets).</t>
  </si>
  <si>
    <t>- Check for update logs and revision history of the inventory.
- Confirm if triggers like system provisioning, decommissioning, or relocation initiate asset updates.
- Review audit results or change logs for completeness.</t>
  </si>
  <si>
    <t>- Asset Inventory version history
- Change request logs with asset updates
- ITSM records related to asset provisioning/deprovisioning
- Sample updated inventory entries</t>
  </si>
  <si>
    <t xml:space="preserve">The organization has established a defined update cadence for the Asset Inventory Register, with monthly tracking for Asset Register Accuracy and Asset Custodian assignment as documented in the KPI table (ARK-IS-ISO-03, Section 9). It was observed that the Asset Register (ARK-IT-ISO, Ver 2.0) has undergone documented revision cycles, with Version 2.0 reflecting an annual review and major change dated 2026. The policy further mandates that assets be updated upon addition, modification, or removal events. </t>
  </si>
  <si>
    <t>2.1.4</t>
  </si>
  <si>
    <t>Use dedicated and automated tools to discover the information assets. Integrate the information assets and track them from a central system.</t>
  </si>
  <si>
    <t>- Asset discovery tool configuration and licensing records
- Automated scan reports showing discovered assets with timestamps
- Tool output logs demonstrating automated inventory population
- Integration records between discovery tool and Asset Inventory</t>
  </si>
  <si>
    <t>It was observed that the organization maintains a centralized asset tracking register (ARK-IT-ISO, Ver 2.0) spanning cloud platforms (OCI, Azure, AWS) and on-premises hardware, with structured fields for status, owner, and system details. However, no explicit evidence was presented of a dedicated automated asset discovery tool being deployed or integrated into a central management system. The policy references capacity monitoring thresholds but does not explicitly mandate or document use of an automated discovery solution.</t>
  </si>
  <si>
    <t xml:space="preserve">No evidence of a dedicated automated asset discovery tool; the inventory appears to be maintained manually. each cloud platform discovers assets automatically, but therer's no automatic integration between the multiple,  automatically collected, assets. </t>
  </si>
  <si>
    <t xml:space="preserve">It's advised to use and automated central asset management system. </t>
  </si>
  <si>
    <t>2.1.5</t>
  </si>
  <si>
    <r>
      <rPr>
        <rFont val="Poppins"/>
        <color theme="1"/>
        <sz val="12.0"/>
      </rPr>
      <t xml:space="preserve">Continuously measure, review and optimize the   </t>
    </r>
    <r>
      <rPr>
        <rFont val="Times New Roman"/>
        <b/>
        <color theme="1"/>
        <sz val="12.0"/>
      </rPr>
      <t>[Requirements for Asset Discovery]</t>
    </r>
    <r>
      <rPr>
        <rFont val="Times New Roman"/>
        <color theme="1"/>
        <sz val="12.0"/>
      </rPr>
      <t xml:space="preserve"> as well as the effectiveness of the process.</t>
    </r>
  </si>
  <si>
    <t>- Periodic review records for Requirements for Asset Discovery
- Updated Asset Discovery requirements document (version history)
- Review meeting minutes assessing asset discovery effectiveness
- Optimization actions taken based on asset discovery gaps or tool improvements</t>
  </si>
  <si>
    <t>The organization has established a formal KPI framework within ARK-IS-ISO-03 (Section 9) that includes measurable targets for Asset Register Accuracy (90%), Asset Custodian coverage (90%), and Asset Labeling (80%), reviewed on monthly and quarterly frequencies. It was further noted that the policy is subject to annual review as stated in Section 5, supporting continuous improvement of the asset discovery requirements. This control is considered substantially met.</t>
  </si>
  <si>
    <t>2.2.1</t>
  </si>
  <si>
    <t>Define and document [Requirements for Asset Classification] which consider the following:
• Classification and labelling of information assets as well as the respective protective measures for identification, handling, transfer, storage, return, deletion and disposal</t>
  </si>
  <si>
    <t>- Review the documented classification requirements to verify that classification levels (e.g., Confidential, Internal, Public) and corresponding handling procedures are clearly defined.
- Confirm that the document includes guidelines for labeling, transferring, storing, and disposing of assets.
- Check if the requirements are aligned with regulatory obligations (e.g., data protection, industry compliance)</t>
  </si>
  <si>
    <t>- Asset Classification Requirements document
- Classification and handling guideline document
- Mapping of protection measures to classification levels
- Regulatory cross-reference sheet (if applicable)</t>
  </si>
  <si>
    <t xml:space="preserve">The organization has formally documented its asset classification requirements across two complementary documents: the Data Classification Policy (ARK-IS-ISO-POL-10, Ver 1.0) and the Asset Classification &amp; Capacity Management Policy/Procedures (ARK-IS-ISO-03, Ver 2.0). It was observed that both documents define a four-tier classification scheme (Public, Internal, Confidential, Top Secret) with associated protective measures, handling responsibilities, labeling requirements, and disposal guidance. Classification Markings (Section 6.6 of ARK-IS-ISO-POL-10) explicitly address labeling obligations across all media types, and Section 6.5 addresses reclassification. </t>
  </si>
  <si>
    <t>2.2.2</t>
  </si>
  <si>
    <t xml:space="preserve">Define and implement an {Asset Classification} process to classify and label information assets within your [Asset Inventory] according to specific criteria (e.g. criticality, business value, legal requirements, confidentiality, integrity and availability) and the [Requirements for Information Protection]. </t>
  </si>
  <si>
    <t>- Confirm the implementation of a formal classification process aligned with the documented requirements.
- Verify whether the asset inventory includes classification attributes based on CIA triad, legal requirements, and business criticality.
- Review sample assets to ensure proper classification and labeling has been applied.
- Check that the classification process is embedded into asset onboarding/provisioning workflows</t>
  </si>
  <si>
    <t>- Classification Process Document or Flowchart
- Updated Asset Inventory showing classification levels
- Asset classification decision log or approval records
- Sample labeled assets (e.g., screenshots, tags, digital labels)</t>
  </si>
  <si>
    <t xml:space="preserve">It was noted that the organization has implemented an asset classification process evidenced by the Asset Inventory Register (ARK-IT-ISO, Ver 2.0), which applies classification levels (Critical/High/Medium/Low) across hardware, software, laptop, and cloud asset categories. The classification criteria in ARK-IS-ISO-03 incorporate criticality, data sensitivity, and business impact, aligning with the requirements of this control. Roles for Data Stewards, Custodians, and Top Management in executing the classification process are defined within ARK-IS-ISO-POL-10 (Sections 6.10–6.12) and supported by a RACI matrix. </t>
  </si>
  <si>
    <t>2.2.3</t>
  </si>
  <si>
    <t>Continuously measure, review and optimize the [Requirements for Asset Classification] as well as the effectiveness of the process.</t>
  </si>
  <si>
    <t>The organization has established measurable KPIs for asset classification effectiveness within ARK-IS-ISO-03 (Section 9), including Asset Register Accuracy (target: 90%, monthly) and Asset Labeling (target: 80%, quarterly). It was further observed that both ARK-IS-ISO-POL-10 and ARK-IS-ISO-03 are subject to annual review cycles, with revision history demonstrating active document governance</t>
  </si>
  <si>
    <t>2.3.1</t>
  </si>
  <si>
    <t>Bring Your Own Device (BYOD)</t>
  </si>
  <si>
    <t>Define and document [Cybersecurity Requirements for BYOD] within the organization which consider the following:
• Isolation of personal information from the business information
• Restrictions on the use of devices depending on the organization's business interest
• Restrictions on the access of critical systems
• Secure deletion of the organization's information</t>
  </si>
  <si>
    <t>- Review BYOD policy or guideline documentation.
- Confirm inclusion of requirements for logical separation of personal and business data (e.g., containerization, sandboxing).
- Validate defined access restrictions to critical infrastructure and business applications.
- Check secure wipe instructions or mechanisms on offboarding.</t>
  </si>
  <si>
    <t>- BYOD Policy and Procedure document
- Mobile Device Management (MDM) configuration documentation
- Access control rules or system segregation mappings
- Screenshots/policies detailing secure deletion processes</t>
  </si>
  <si>
    <t xml:space="preserve">
The organization does not operate a Bring Your Own Device (BYOD) program. Access to corporate applications and resources is restricted exclusively to organization-managed and compliant devices, enforced through Microsoft Intune. As personal devices are not permitted to access corporate systems or data, all BYOD-related controls under this domain are not applicable.</t>
  </si>
  <si>
    <t>2.3.2</t>
  </si>
  <si>
    <t>Enforce the defined [Cybersecurity Requirements for BYOD] within the organization</t>
  </si>
  <si>
    <t>- Validate enforcement using an MDM/EMM platform.
- Review compliance reports for enrolled personal devices.
- Confirm access logs and policy enforcement (e.g., blocking access to unmanaged or jailbroken devices).
- Evaluate the escalation or incident management process for BYOD violations.</t>
  </si>
  <si>
    <t>- MDM/EMM compliance dashboard
- BYOD access control and enforcement logs
- Sample incident/ticket related to BYOD enforcement
- Audit reports showing non-compliance handling</t>
  </si>
  <si>
    <t>2.3.3</t>
  </si>
  <si>
    <t>Securely delete the organization's information after the completion of the associated job function and when the information is no longer necessary.</t>
  </si>
  <si>
    <t>- Verify the secure data wipe process on personal devices when employees change roles or leave.
- Confirm that offboarding checklists include remote wipe actions or revocation of corporate data access.
- Test the existence of validation methods to confirm successful data deletion.</t>
  </si>
  <si>
    <t>- Employee offboarding checklist including BYOD data wipe
- MDM remote wipe logs or reports
- Email confirmation of successful wipe actions
- HR-IT handoff process documentation</t>
  </si>
  <si>
    <t>2.3.4</t>
  </si>
  <si>
    <t>Ensure that the organization’s information stored on the devices are encrypted.</t>
  </si>
  <si>
    <t>- MDM/EMM solution data wipe or remote lock logs
- Offboarding checklist confirming BYOD data deletion
- Policy or procedure defining secure deletion requirements for BYOD
- Confirmation records of data wipe actions per device</t>
  </si>
  <si>
    <t>2.3.5</t>
  </si>
  <si>
    <r>
      <rPr>
        <rFont val="Poppins"/>
        <color theme="1"/>
        <sz val="12.0"/>
      </rPr>
      <t xml:space="preserve">Continuously measure, review and optimize the </t>
    </r>
    <r>
      <rPr>
        <rFont val="Times New Roman"/>
        <b/>
        <color theme="1"/>
        <sz val="12.0"/>
      </rPr>
      <t>[Cybersecurity Requirements for BYOD]</t>
    </r>
    <r>
      <rPr>
        <rFont val="Times New Roman"/>
        <color theme="1"/>
        <sz val="12.0"/>
      </rPr>
      <t xml:space="preserve"> within the organization.</t>
    </r>
  </si>
  <si>
    <t>- Periodic review records for Cybersecurity Requirements for BYOD
- Updated BYOD Policy version history
- Review meeting minutes assessing BYOD program effectiveness
- MDM compliance dashboard showing BYOD posture over time</t>
  </si>
  <si>
    <t>2.4.1</t>
  </si>
  <si>
    <t>Define and document the [Requirements for Acceptable Use of Information Assets] which consider the following:
• The acceptable use of information assets</t>
  </si>
  <si>
    <t>- Review the Acceptable Use Policy (AUP) to verify that it clearly outlines acceptable and prohibited behaviors related to IT systems, internet usage, software installation, use of removable media, and corporate resources.
- Confirm inclusion of consequences for policy violations.
- Validate that the policy is approved and version-controlled</t>
  </si>
  <si>
    <t>- Acceptable Use of Information Assets document
- Version history and approval record
- User communication logs (e.g., internal emails, portal notifications)
- Reference to AUP in employee handbook or onboarding kit</t>
  </si>
  <si>
    <t>The organization has established and documented the Acceptable Usage Policy (ARK-IS-ISO-08, Ver 1.0), covering user responsibilities, prohibited use, access management, clear desk/screen, information handling, hardware and software use, removable media, social media, and web filtering. The policy applies to all employees, contractors, and vendors interacting with ARKAN information resources.</t>
  </si>
  <si>
    <t>2.4.2</t>
  </si>
  <si>
    <t>Ensure the implementation of the [Requirements for Acceptable Use of Information Assets] (e.g. prohibiting installation of unwanted software, control access to web pages, allow the use of removable media based on business-needs only).</t>
  </si>
  <si>
    <t>- Verify implementation of AUP through technical controls like Group Policy, Endpoint Protection, or DLP.
- Confirm enforcement of restrictions related to software installation, removable media, and internet usage.
- Review system or SIEM logs for policy violations and enforcement actions.</t>
  </si>
  <si>
    <t>- Endpoint control or DLP policy enforcement logs
- Group Policy configurations or device control policies
- Incident reports or violation tickets
- User access restriction screenshots for software/web/USB</t>
  </si>
  <si>
    <t>It was observed that ARK-IS-ISO-08 enforces practical controls including a formal software approval process with an Approved/Prohibited Software Register (Section 6.12), web filtering and monitoring requirements (Section 6.11), and removable media restrictions requiring prior IT and Information Security approval (Section 6.9). Access to information is enforced on a need-to-know basis with MFA and VPN requirements for remote access. This control is considered fully met.</t>
  </si>
  <si>
    <t>2.4.3</t>
  </si>
  <si>
    <t>Continuously measure, review and optimize the requirements for the [Requirements for Acceptable Use of Information Assets].</t>
  </si>
  <si>
    <t>- Periodic review records for Requirements for Acceptable Use of Information Assets
- Updated Acceptable Use Policy version history
- Policy review meeting minutes with sign-off by management
- Evidence of re-communication of AUP updates to all personnel</t>
  </si>
  <si>
    <t>The organization has established an annual review cycle for ARK-IS-ISO-08 as documented in Section 5, with a RACI matrix assigning accountability for policy review and compliance measurement to the Information Security Team. It was noted, however, that no formal KPIs or measurable targets are defined within the policy to track the effectiveness of acceptable use controls over time.</t>
  </si>
  <si>
    <t>2.5.1</t>
  </si>
  <si>
    <t>Define and document [Requirements for Asset Maintenance] which consider the following:
·      Asset maintenance
·      Tracking and monitoring
·      Recovery plan</t>
  </si>
  <si>
    <t>- Requirements for Asset Maintenance document
- Maintenance schedule and scope definition
- Asset maintenance policy referencing authorized maintenance windows
- Management approval records for maintenance requirements</t>
  </si>
  <si>
    <t>It was observed that ARK-IS-ISO-03 (Ver 2.0) addresses asset maintenance requirements through the Asset Management Lifecycle (Section 7.2), capacity monitoring thresholds, and asset return procedures. However, no dedicated Asset Maintenance policy or procedure was presented that explicitly consolidates maintenance scheduling, repair logging, and a recovery plan into a single defined requirements document.</t>
  </si>
  <si>
    <t>No formally documented standalone requirements covering asset maintenance, repair tracking, and recovery plan in an integrated manner</t>
  </si>
  <si>
    <t>Establish a dedicated Asset Maintenance Policy or procedure that formally consolidates maintenance scheduling, repair tracking, and recovery plan requirements into a single integrated document</t>
  </si>
  <si>
    <t>2.5.2</t>
  </si>
  <si>
    <r>
      <rPr>
        <rFont val="Poppins"/>
        <color theme="1"/>
        <sz val="12.0"/>
      </rPr>
      <t>Define and implement an</t>
    </r>
    <r>
      <rPr>
        <rFont val="Times New Roman"/>
        <b/>
        <color theme="1"/>
        <sz val="12.0"/>
      </rPr>
      <t xml:space="preserve"> {Asset Maintenance}</t>
    </r>
    <r>
      <rPr>
        <rFont val="Times New Roman"/>
        <color theme="1"/>
        <sz val="12.0"/>
      </rPr>
      <t xml:space="preserve"> process to maintain and repair the organization's information assets (including offsite assets) and keeping a log of these activities.</t>
    </r>
  </si>
  <si>
    <t>- Asset Maintenance Process document or SOP
- Scheduled maintenance records and completed work orders
- Maintenance activity logs from ITSM or helpdesk system
- Vendor maintenance contracts and service records</t>
  </si>
  <si>
    <t xml:space="preserve">The organization has established asset lifecycle procedures within ARK-IS-ISO-03, including asset registration, deployment, monitoring, and disposal. The Asset Inventory Register (ARK-IT-ISO, Ver 2.0) captures asset status across OCI, Azure, AWS, hardware, and software environments, and a maintenance activity log was presented evidencing the tracking and recording of repair events. </t>
  </si>
  <si>
    <t>2.5.3</t>
  </si>
  <si>
    <t xml:space="preserve">As per the organization defined recovery plan, execute the asset recovery during or after a security incident. </t>
  </si>
  <si>
    <t>- Recovery plan documentation with asset maintenance procedures
- Evidence of maintenance activities executed per recovery plan
- Post-maintenance test and validation records
- Incident or change tickets linked to recovery-related maintenance actions</t>
  </si>
  <si>
    <t>No dedicated asset recovery plan or procedure was presented as evidence for this control. While ARK-IS-ISO-03 references incident escalation and exception handling for unreturned assets, a defined recovery process tied to security incidents and asset restoration was not observed in the documentation reviewed.</t>
  </si>
  <si>
    <t>2.5.4</t>
  </si>
  <si>
    <r>
      <rPr>
        <rFont val="Poppins"/>
        <color theme="1"/>
        <sz val="12.0"/>
      </rPr>
      <t xml:space="preserve">Monitor information assets appropriately, based on the </t>
    </r>
    <r>
      <rPr>
        <rFont val="Times New Roman"/>
        <b/>
        <color theme="1"/>
        <sz val="12.0"/>
      </rPr>
      <t>[Asset Classification]</t>
    </r>
    <r>
      <rPr>
        <rFont val="Times New Roman"/>
        <color theme="1"/>
        <sz val="12.0"/>
      </rPr>
      <t>.</t>
    </r>
  </si>
  <si>
    <t>- Asset monitoring logs or alerts from monitoring tools
- Monitoring coverage report aligned to Asset Classification levels
- SIEM or asset health dashboard screenshots
- Maintenance monitoring SOP or configuration documentation</t>
  </si>
  <si>
    <t>It was noted that ARK-IS-ISO-03 (Section 7.1) mandates continuous monitoring of CPU, RAM, Storage, and Network Bandwidth with defined alert thresholds (e.g., CPU &gt; 85%), and that assets in the ARK-IT-ISO register are assigned criticality classifications (Critical/High/Medium/Low). The policy assigns capacity monitoring responsibilities across all IT tiers.</t>
  </si>
  <si>
    <t>2.5.5</t>
  </si>
  <si>
    <r>
      <rPr>
        <rFont val="Poppins"/>
        <color theme="1"/>
        <sz val="12.0"/>
      </rPr>
      <t xml:space="preserve">Continuously measure, review and optimize the </t>
    </r>
    <r>
      <rPr>
        <rFont val="Times New Roman"/>
        <b/>
        <color theme="1"/>
        <sz val="12.0"/>
      </rPr>
      <t>[Requirements for Asset Maintenance]</t>
    </r>
    <r>
      <rPr>
        <rFont val="Times New Roman"/>
        <color theme="1"/>
        <sz val="12.0"/>
      </rPr>
      <t xml:space="preserve"> as well as the effectiveness of the process.</t>
    </r>
  </si>
  <si>
    <t>- Periodic review records for Requirements for Asset Maintenance
- Updated Asset Maintenance Policy version history
- Review meeting minutes assessing maintenance process effectiveness
- Optimization actions log for maintenance activities</t>
  </si>
  <si>
    <t>The organization has defined KPIs for asset register accuracy, custodian assignment, and capacity utilization within ARK-IS-ISO-03 (Section 9), tracked on monthly and quarterly frequencies. The policy is subject to annual review as stated in Section 5. T</t>
  </si>
  <si>
    <t>2.6.1</t>
  </si>
  <si>
    <t>Define and document [Requirements for Secure Disposal of Assets] which consider the following:
• Setting rules for information asset disposal based on the classification and labelling of the information asset defined in the [Asset Inventory]</t>
  </si>
  <si>
    <t>- Review the Secure Disposal Requirements document and confirm it defines disposal methods based on asset classification (e.g. physical destruction for confidential data).
- Check if it includes approved disposal techniques (e.g. degaussing, shredding, secure erasure).
- Validate that it addresses both hardware and digital information assets.</t>
  </si>
  <si>
    <t>- Secure Disposal Policy
- Disposal method matrix mapped to asset classification
- Approval records for disposal techniques
- Policy excerpts referencing disposal criteria</t>
  </si>
  <si>
    <t>The organization has established disposal requirements through the Data Destruction Policy (ARK-IS-ISO-09, Ver 1.0), defining secure disposal methods for electronic media (overwriting, degaussing, physical destruction) and physical media (shredding), applicable across all data classifications. Disposal requirements are further reinforced within ARK-IS-ISO-03 (Ver 2.0) through the Asset Management Lifecycle, which includes an Asset Disposal stage covering both physical hardware and software</t>
  </si>
  <si>
    <t>2.6.2</t>
  </si>
  <si>
    <t>Define and implement a (Secure Asset Disposal) process to handle the disposal of the information assets based on the [Requirements for Secure Disposal of Assets] that uses appropriate techniques (e.g. secure erase, drilling, shredding) in order to prevent unauthorized disclosure or modification of information stored on the assets.</t>
  </si>
  <si>
    <t>- Verify the existence of a documented and operational disposal process.
- Observe actual or sample disposal activities for alignment with defined requirements.
- Check whether disposal events are logged and reviewed.
- Confirm whether third-party disposal vendors are certified and monitored.</t>
  </si>
  <si>
    <t>- Secure Asset Disposal SOP
- Disposal activity logs or ITSM ticket closure notes
- Certificates of destruction from internal or third-party teams (Sample Basis - Kindly share the full list of disposals during the period of 1st june 2024 to 1st june 2025)
- Asset decommissioning forms</t>
  </si>
  <si>
    <t>It was observed that ARK-IS-ISO-09 defines disposal techniques including secure erasure using overwriting protocols, physical destruction, and shredding of paper-based media, with the Information Security department overseeing sanitization decisions. The Asset Receipt/Return Form presented evidences a formal asset return process, capturing asset details, serial numbers, condition, and dual-party sign-off upon collection.</t>
  </si>
  <si>
    <t>2.6.3</t>
  </si>
  <si>
    <t>Continuously measure, review and optimize the [Requirements for Secure Disposal of Assets] as well as the effectiveness of the process.</t>
  </si>
  <si>
    <t>- Periodic review records for Requirements for Secure Disposal of Assets
- Updated Secure Disposal Policy version history
- Review meeting minutes assessing disposal process effectiveness
- Post-disposal audit findings or improvement actions</t>
  </si>
  <si>
    <t>The organization has established an annual review cycle for ARK-IS-ISO-09 as documented in Section 5, with a RACI matrix assigning compliance measurement accountability to the Information Security Team. However, no specific KPIs or measurable targets related to secure disposal activities were presented.</t>
  </si>
  <si>
    <t>No defined KPIs or metrics to measure the effectiveness of the secure disposal process.</t>
  </si>
  <si>
    <t>Objective 3.1. Establish and implement an appropriate cybersecurity risk assessment approach to identify, analyze, and evaluate the risks to protect the information assets.
Objective 3.2. Establish and implement an appropriate cybersecurity risk treatment and monitoring approach to manage the identified risks and monitor the treatment plans.</t>
  </si>
  <si>
    <t>3.1.1</t>
  </si>
  <si>
    <t>Define and document [Requirements for Cybersecurity Risk Assessment] which consider the following:
• Purpose and scope of the risk assessment in the organization
• The frequency and circumstance when risk assessment should be conducted in the organization
• Ensuring that the [Requirements for Cybersecurity Risk Assessment] cover the risks to the information assets of the organization, individuals, and other organizations</t>
  </si>
  <si>
    <t>- Review the Risk Assessment Requirements document for completeness and approval.
- Validate inclusion of scope, purpose, frequency (e.g., annual, project-based), and triggering events (e.g., major changes, new services).
- Confirm that the requirement addresses risks across information assets, individuals (privacy), and third parties.</t>
  </si>
  <si>
    <r>
      <rPr>
        <rFont val="Poppins"/>
        <color theme="1"/>
        <sz val="12.0"/>
      </rPr>
      <t xml:space="preserve">- </t>
    </r>
    <r>
      <rPr>
        <rFont val="Poppins"/>
        <b/>
        <color theme="1"/>
        <sz val="12.0"/>
      </rPr>
      <t xml:space="preserve">Risk Assessment Requirements document
- Risk Management Policy
</t>
    </r>
    <r>
      <rPr>
        <rFont val="Poppins"/>
        <color theme="1"/>
        <sz val="12.0"/>
      </rPr>
      <t>- Scope and frequency matrix
- Documented approval or endorsement by management</t>
    </r>
  </si>
  <si>
    <t>The organization has formally documented its risk assessment requirements within the Risk Management Processes document (ARK-IS-ISO-21, Ver 2.0). The document defines the purpose, scope, methodology, and triggers for risk assessment (Section 6.1), including periodic annual assessments, assessments at project initiation, before major changes, and for third-party technology. The framework is based on NIST SP800-30 and ISO 27005, covering risks to information assets across business applications and infrastructure. This control is considered fully met.</t>
  </si>
  <si>
    <t>3.1.2</t>
  </si>
  <si>
    <t>Define and implement a (Risk Assessment) process consisting of:
• Risk identification: Identify and document internal and external risks based on the information assets of the organization [Asset Discovery] and maintain the identified risks in a [Risk Register]
• Risk analysis: Analyze and document the identified risks in terms of probability and impact
• Risk evaluation: Identify, prioritize, and document which risk should be treated or accepted based on the organization's risk appetite. Risk evaluation outcomes must be officially approved by the top management
• Report the top cybersecurity risks within the [Risk Register] along with the remediation plans to the CST</t>
  </si>
  <si>
    <t>- Verify if the risk assessment process document exists and aligns with international standards (e.g., ISO 27005, ISO 31000).
- Review samples of recent risk assessments to confirm the inclusion of asset-based identification, likelihood-impact scoring, and prioritization.
- Check that risk evaluation decisions (treat/accept) are approved by top management.
- Validate reporting of top risks and mitigation plans to the CST.</t>
  </si>
  <si>
    <t>- Risk Assessment Procedure document and Risk Management Policy
- Completed Risk Register with analysis and evaluation
- Approval records for risk evaluation outcomes
- Risk reporting communication to CST or authority</t>
  </si>
  <si>
    <t xml:space="preserve">It was observed that the organization has implemented a structured risk assessment process evidenced by the Risk Register (ARK-ISO-Risk_Assessment_v2.0), containing 60 documented risks across VoIP, Network Perimeter, and Cloud Infrastructure asset categories. Each risk entry captures vulnerability, threat, CIA impact scores, inherent risk, existing controls mapped to ISO 27001 control IDs, control effectiveness, residual risk, treatment decision, and risk owner. The 14-step process activity description (PA01–PA14) in ARK-IS-ISO-21 covers risk identification through recording and follow-up. Top management approval is referenced for risk acceptance. </t>
  </si>
  <si>
    <t>3.1.3</t>
  </si>
  <si>
    <t xml:space="preserve">Integrate the {Risk Assessment} process into the organization’s risk management framework and apply it at least for the following events:
·      In the early stages of major technical projects or major changes to the organization or technical architecture
·      Before launching new products and services </t>
  </si>
  <si>
    <t>- Risk Management Framework integration documentation
- Evidence of Cybersecurity Risk Assessment embedded in enterprise risk management
- Risk committee meeting minutes referencing cybersecurity risk inputs
- Integrated risk register showing cybersecurity risks alongside operational risks</t>
  </si>
  <si>
    <t xml:space="preserve">It was noted that ARK-IS-ISO-21 (Section 6.1) explicitly mandates risk assessment at project initiation, before major changes, and for third-party technology, integrating the process into the organization's broader ISMS framework. The Risk Register (Ver 2.0) demonstrates active application of the process across core infrastructure domains. </t>
  </si>
  <si>
    <t>3.1.4</t>
  </si>
  <si>
    <t>Continuously measure, review and optimize the [Requirements for Cybersecurity Risk Assessment] as well as the effectiveness of the process.</t>
  </si>
  <si>
    <t>- Periodic review records for Requirements for Cybersecurity Risk Assessment
- Updated Risk Assessment Policy or Procedure (version history)
- Review meeting minutes assessing risk assessment process effectiveness
- Updated risk criteria or methodology documentation following review</t>
  </si>
  <si>
    <t xml:space="preserve">The organization has established KPIs and KRIs for risk assessment effectiveness within ARK-IS-ISO-21 (Section 7.3), including quarterly and annual targets for risk response compliance, management acceptance rates, and assessment coverage. The document is subject to annual review as stated in Section 5, and the Risk Register reflects an annual update cycle evidenced by the Ver 2.0 revision history. </t>
  </si>
  <si>
    <t>3.2.1</t>
  </si>
  <si>
    <t>Cybersecurity Risk Treatment &amp; Monitoring</t>
  </si>
  <si>
    <t>Define and document [Requirements for Cybersecurity Risk Treatment and Monitoring] which consider the following:
• The risk treatment plan
• The risk monitoring plan</t>
  </si>
  <si>
    <t>- Review the documented requirements for risk treatment and monitoring to confirm they address the creation, approval, and tracking of treatment plans.
- Validate that monitoring objectives, frequency, responsible roles, and escalation mechanisms are clearly defined.
- Ensure the document is approved by senior management and version-controlled.</t>
  </si>
  <si>
    <t>- Cybersecurity Risk Treatment and Monitoring policy or governance framework
- Risk escalation path or procedure
- Approval record from risk committee or management</t>
  </si>
  <si>
    <t>The organization has defined risk treatment and monitoring requirements within ARK-IS-ISO-21, covering risk appetite, treatment options (Mitigate, Accept, Insure, Avoid), residual risk calculation, Risk Acceptance Form procedures, and escalation timelines (Section 9). Risk monitoring requirements are addressed through the recording, follow-up, and reporting activities (PA14 and Section 8.14).</t>
  </si>
  <si>
    <t>3.2.2</t>
  </si>
  <si>
    <t>Define and implement a (Risk Treatment) process describing how assessed risks are treated resulting in a [Risk Treatment Plan].</t>
  </si>
  <si>
    <t>- Review the Risk Treatment Process document to verify that all risk handling strategies (avoid, mitigate, transfer, accept) are defined.
- Confirm that for each identified risk, a treatment plan is developed, reviewed, approved, and implemented.
- Validate treatment actions include timelines, responsible personnel, and expected outcomes.</t>
  </si>
  <si>
    <t>- Risk Treatment Process document
-  Sample Risk Treatment Plans (with clear linkage to assessed risks)
- Approval records for treatment strategies
- Risk register entries showing treatment progress</t>
  </si>
  <si>
    <t xml:space="preserve">It was observed that the Risk Register (ARK-ISO-Risk_Assessment_v2.0) documents treatment decisions, risk treatment plans, and assigned risk owners for all 60 identified risks. The treatment process defined in ARK-IS-ISO-21 (Sections 8.11–8.13) covers control recommendations, treatment strategy selection by risk owners, residual risk calculation, and communication to implementation teams. </t>
  </si>
  <si>
    <t>3.2.3</t>
  </si>
  <si>
    <t>Define and implement a (Risk Monitoring) process that monitors and reviews the identified risks, the implementation of the risk treatment plan, the residual risk, and the status of the accepted risks.</t>
  </si>
  <si>
    <t>- Assess the process for continuous monitoring of risks, including reassessment frequency, treatment progress checks, and residual risk evaluations.
- Confirm implementation of a risk dashboard or log to track treatment status, overdue actions, and accepted risks.
- Review decision records for risk acceptance and residual risk tolerances</t>
  </si>
  <si>
    <t>- Risk Monitoring Procedure or SOP
- Updated Risk Register with treatment tracking fields
- Dashboard or monitoring report on risk treatment status
- Residual and accepted risk documentation and justifications</t>
  </si>
  <si>
    <t>The organization has established a risk monitoring process through PA14 (Record in Registry &amp; Reporting) and the escalation framework in Appendix 2 of ARK-IS-ISO-21, defining timelines and escalation methods from service owner through to executive level. The RACI model (Section 9.1) assigns accountability for risk response validation and residual risk assessment to the Information Security Team. The Risk Register tracks residual risk scores and ratings for all items.</t>
  </si>
  <si>
    <t>3.2.4</t>
  </si>
  <si>
    <t>Continuously measure, review and optimize the [Requirements for Cybersecurity Risk Treatment and Monitoring] as well as the effectiveness of the processes.</t>
  </si>
  <si>
    <t>The organization has defined measurable KPIs and KRIs in ARK-IS-ISO-21 (Section 7.3) covering response compliance, management acceptance rates, and assessment coverage on quarterly and annual frequencies. The policy is subject to annual review, and the Risk Register demonstrates active version-controlled maintenance.</t>
  </si>
  <si>
    <t>Objective 4.1. Ensure effective and adequate use of cryptography to provide confidentiality, integrity, authenticity and non-repudiation of information in transit, at rest and in use.
Objective 4.2. Manage the changes to the information assets to control the consequences of the changes.
Objective 4.3. Identify the vulnerabilities of the information assets, to prioritize and recommend the remediation actions.
Objective 4.4. Ensure cybersecurity patches are applied to the information assets in an appropriate timeframe to fix known issues and enhance their resilience.
Objective 4.5. Protect the networks operated by the organization from malicious activities and ensure the networks resilience against cyber threats.
Objective 4.6. Monitor and protect the event logs of the information assets and report suspicious events to the responsible personnel.
Objective 4.7. Manage the access rights and implement appropriate authentication mechanisms to prevent unauthorized access to information assets.
Objective 4.8. Create and enforce a list of software applications that are authorized to be installed and used within the organization.
Objective 4.9. Detect and respond to cybersecurity incidents to contain and minimize the impact of the incidents.
Objective 4.10. Detect malware and prevent its spread in the organization.
Objective 4.11. Classify the organization’s information to ensure their adequate protection.
Objective 4.12. Take the necessary measures including backup to ensure recovery of information assets after an incident.
Objective 4.13. Implement baseline configuration settings to increase the resilience of the information assets.
Objective 4.14. Implement a secure software development lifecycle.
Objective 4.15. Protect email and web browsers against cybersecurity threats.</t>
  </si>
  <si>
    <t>4.1.1</t>
  </si>
  <si>
    <t>Define and document [Requirements for Cryptography] which consider the following:
• Defining basic cryptographic protocols and techniques (e.g. AES 256, RSA 2048, and PKI) together with relevant restrictions (e.g. self-signed certificates, MD5)
• Conditions under which approved cryptographic protocols should be applied (data in transit, at rest, in use) taking into account the [Requirements for Information Protection]</t>
  </si>
  <si>
    <t>- Review the Cryptographic Requirements document and confirm inclusion of approved algorithms and protocols with associated restrictions.
- Verify that guidance is provided for data in transit, at rest, and in use scenarios</t>
  </si>
  <si>
    <t>- Cryptography Requirements document
- Approved cryptographic standard reference list
- Data protection matrix referencing use of cryptography by data state
- Internal standards for cryptographic key lengths and protocol usage
Encryption and Key Management Process/Policy document</t>
  </si>
  <si>
    <t xml:space="preserve">It was noted that the Encryption and Key Management Policy defines and documents the requirements appropritately  
• AES-256 clearly defined for Data at Rest.
• Encryption for Data in Motion - VPN, SSL/TLS, Secure FTP, SCP.
• Portable Devices - Full Disk Encryption required.
• Prohibited algorithms not explicitly listed                                    </t>
  </si>
  <si>
    <t>4.1.2</t>
  </si>
  <si>
    <t>Create a list of [Cryptographic Solutions] (e.g. products, algorithms and protocols) in accordance to relevant restrictions (e.g. legal, technical, national) and make sure it is approved by the responsible roles.</t>
  </si>
  <si>
    <t>- Validate that an inventory or list of approved cryptographic solutions exists.
- Check whether the list includes product names, protocol versions, legal/regulatory restrictions, and usage contexts.
- Confirm approval by appropriate authorities (e.g., Security Officer, Compliance, IT Governance).</t>
  </si>
  <si>
    <t>- Cryptographic Solutions List or Register
- Approval record or review sign-off by security or legal teams
- Mapping document of use cases to specific solutions
- Periodic review meeting logs for solution updates</t>
  </si>
  <si>
    <t>- List of Cryptographic Solutions is implied - AES-256, VPN, SSL/TLS, Secure FTP, SCP, however not presented as a formal "approved list" — recommend adding an Approved Cryptographic Solutions Table.
- Approval process is clear - RACI matrix shows Information Security Team responsible.</t>
  </si>
  <si>
    <t>4.1.3</t>
  </si>
  <si>
    <t>Use the [Cryptographic Solutions] based on the identified circumstances, in order to protect information throughout its complete life cycle (in transit, at rest, in use) according to its classification [Requirements for Information Protection].</t>
  </si>
  <si>
    <t>- Examine actual system implementations and confirm application of appropriate cryptographic solutions per data classification and usage context.
- Review configuration files, encryption libraries, and integration settings.
-Validate cryptographic enforcement through technical controls (e.g., TLS 1.2+, disk encryption, secure file transfers).</t>
  </si>
  <si>
    <t>- System configurations showing encryption protocols in use
- Data classification-to-cryptography mapping
- Encryption status reports (e.g., BitLocker, SSL cert scans)
- Internal validation or audit results of encryption enforcement</t>
  </si>
  <si>
    <t>- Policy defines clear conditions of use for Data at Rest, Data in Motion, Portable Devices.
- Requirements enforce use of approved encryption methods based on classification of data.
- Key Management processes well defined : Key lifecycle, separation of keys, key rotation, backup, and access control.</t>
  </si>
  <si>
    <t>4.1.4</t>
  </si>
  <si>
    <r>
      <rPr>
        <rFont val="Poppins"/>
        <color theme="1"/>
        <sz val="12.0"/>
      </rPr>
      <t xml:space="preserve">Define and implement a </t>
    </r>
    <r>
      <rPr>
        <rFont val="Times New Roman"/>
        <b/>
        <color theme="1"/>
        <sz val="12.0"/>
      </rPr>
      <t>{Life Cycle Management of Cryptographic Keys}</t>
    </r>
    <r>
      <rPr>
        <rFont val="Times New Roman"/>
        <color theme="1"/>
        <sz val="12.0"/>
      </rPr>
      <t xml:space="preserve"> process for handling the generation, protection, archiving, recovery, and destruction of cryptographic keys.</t>
    </r>
  </si>
  <si>
    <t>- Cryptographic Key Lifecycle Management Process document
- Key generation, distribution, storage, rotation, and destruction records
- Key management system configuration or screenshots
- Key custodian assignment and responsibility records</t>
  </si>
  <si>
    <t>Cloud Service Provider responsibility as all assets are either physical assets or hosted on VM's. No external workloads or storage assets used.</t>
  </si>
  <si>
    <t>4.1.5</t>
  </si>
  <si>
    <r>
      <rPr>
        <rFont val="Poppins"/>
        <color theme="1"/>
        <sz val="12.0"/>
      </rPr>
      <t xml:space="preserve">Continuously measure, review and optimize the </t>
    </r>
    <r>
      <rPr>
        <rFont val="Times New Roman"/>
        <b/>
        <color theme="1"/>
        <sz val="12.0"/>
      </rPr>
      <t>[Requirements for Cryptography]</t>
    </r>
    <r>
      <rPr>
        <rFont val="Times New Roman"/>
        <color theme="1"/>
        <sz val="12.0"/>
      </rPr>
      <t>.</t>
    </r>
  </si>
  <si>
    <t>- Periodic review records for Requirements for Cryptography
- Updated Cryptography Policy version history
- Review meeting minutes assessing cryptographic solution effectiveness
- Evidence of algorithm or protocol updates triggered by vulnerability disclosures</t>
  </si>
  <si>
    <t>4.2.1</t>
  </si>
  <si>
    <t>Define and document [Requirements for Change Management] which consider the following:
• Ensuring that changes to information assets are controlled
• The types of changes
• The scope of change management
• Evaluation of the impact of changes before implementation
• Evaluation of the security controls before, during, and after implementation of the change</t>
  </si>
  <si>
    <t>- Review the Change Management Requirements document and validate that it includes the types of changes (e.g. standard, emergency, major), their scope, and criteria for applying change control.
- Confirm documented procedures for pre- and post-change risk/security assessments.
- Check whether stakeholder approvals and rollback strategies are included in the framework.</t>
  </si>
  <si>
    <t>- Change Management Policy / Requirements document
- Change Request Document/  impact assessment template
- List of change categories and scope
- Evaluation checklist for security control validation</t>
  </si>
  <si>
    <t>4.2.2</t>
  </si>
  <si>
    <t>Define and implement a (Change Management) process in accordance with the [Requirements for Change Management] that ensures proper planning and approval of the changes before implementation.</t>
  </si>
  <si>
    <t>- Review the documented Change Management process for coverage of request logging, approval workflow, risk assessments, and scheduling.
- Validate a sample of change requests to ensure planning documents and approvals exist before execution.
- Check for involvement of IT/security stakeholders in the planning phase.</t>
  </si>
  <si>
    <t>- Change Management Process documentation
- Change request logs (from ITSM tool or equivalent)
- Change Approval Board (CAB) meeting records
- Risk and impact assessment reports for selected changes</t>
  </si>
  <si>
    <t>4.2.3</t>
  </si>
  <si>
    <t>Record and maintain change logs and make them available to the responsible roles.</t>
  </si>
  <si>
    <t>- Verify existence of centralized change logs and audit trails for all approved/rejected changes.
- Confirm secure storage and accessibility of logs by authorized personnel only.
- Review completeness of records, including request ID, description, submitter, approver, and implementation status</t>
  </si>
  <si>
    <t xml:space="preserve">- Centralized change log export
- Change tracking report or dashboard
- Access control list for change records
- ITSM tool screenshots of change histories
</t>
  </si>
  <si>
    <t>4.2.4</t>
  </si>
  <si>
    <r>
      <rPr>
        <rFont val="Poppins"/>
        <color theme="1"/>
        <sz val="12.0"/>
      </rPr>
      <t xml:space="preserve">Enhance and implement the </t>
    </r>
    <r>
      <rPr>
        <rFont val="Times New Roman"/>
        <b/>
        <color theme="1"/>
        <sz val="12.0"/>
      </rPr>
      <t>[Requirements for Change Management]</t>
    </r>
    <r>
      <rPr>
        <rFont val="Times New Roman"/>
        <color theme="1"/>
        <sz val="12.0"/>
      </rPr>
      <t xml:space="preserve"> to consider the procedure for emergency changes. </t>
    </r>
  </si>
  <si>
    <t>- Updated Requirements for Change Management incorporating post-implementation review
- Post-implementation review records for significant changes
- Change closure criteria and sign-off documentation
- Change success/failure metrics log</t>
  </si>
  <si>
    <t>4.2.5</t>
  </si>
  <si>
    <r>
      <rPr>
        <rFont val="Poppins"/>
        <color theme="1"/>
        <sz val="12.0"/>
      </rPr>
      <t>Continuously measure, review and optimize the</t>
    </r>
    <r>
      <rPr>
        <rFont val="Times New Roman"/>
        <b/>
        <color theme="1"/>
        <sz val="12.0"/>
      </rPr>
      <t xml:space="preserve"> [Requirements for Change Management] </t>
    </r>
    <r>
      <rPr>
        <rFont val="Times New Roman"/>
        <color theme="1"/>
        <sz val="12.0"/>
      </rPr>
      <t>as well as the effectiveness of the process.</t>
    </r>
  </si>
  <si>
    <t>- Periodic review records for Requirements for Change Management
- Updated Change Management Policy version history
- Review meeting minutes with management approval
- KPIs or metrics dashboard for change management process effectiveness</t>
  </si>
  <si>
    <t>4.3.1</t>
  </si>
  <si>
    <t>Vulnerability Management</t>
  </si>
  <si>
    <t>Define and document [Requirements for Vulnerability Management] which consider the following:
- Scope, tools and technology, reporting
- The frequency of scans
- Timeframes for remediating the vulnerabilities (based on the criticality)</t>
  </si>
  <si>
    <t>- Review the documented Requirements for Vulnerability Management to ensure all listed elements (scope, tools, technology, frequency, remediation timelines) are included.
- Confirm that scanning frequency is defined based on asset criticality.
- Verify whether thresholds for remediation (e.g., 7 days for critical, 30 days for high) are documented.</t>
  </si>
  <si>
    <t>- Requirements for Vulnerability Management document
- Asset criticality mapping (linked to scan frequency)
- Remediation SLA matrix
- Tool selection and usage documentation</t>
  </si>
  <si>
    <t>Patch updates are enforced automatically on end devices through Intune, and cloud assets vulnerability management fall under the responsibility of vendor security provider and cloud service provider</t>
  </si>
  <si>
    <t>4.3.2</t>
  </si>
  <si>
    <t>Define and implement a {Vulnerability Management} process consisting of:
• Scanning:
Conduct vulnerability scans on information assets [Asset Inventory] using relevant tools according to the frequency defined in the requirements (e.g. monthly for critical systems)
• Analyzing:
Analyze the impact that the vulnerability has on the critical information assets and assign a criticality to it and define and assign timeframes (depending on the criticality) within which the vulnerabilities have to be remediated
• Reporting:
Report vulnerabilities [Vulnerabilities Report] along with criticality of the assets to the respective departments and define the recommended action. [Patch Management]</t>
  </si>
  <si>
    <t>- Validate the process document covers all three stages: Scanning, Analyzing, Reporting.
- Review scan reports for coverage and frequency aligned with asset criticality.
- Check classification of vulnerabilities (e.g., CVSS-based) and timelines assigned for remediation.
- Ensure reports are sent to responsible departments with patching guidance.</t>
  </si>
  <si>
    <r>
      <rPr>
        <rFont val="Poppins"/>
        <color theme="1"/>
        <sz val="12.0"/>
      </rPr>
      <t>- Vulnerability Management process document</t>
    </r>
    <r>
      <rPr>
        <rFont val="Poppins"/>
        <b/>
        <color theme="1"/>
        <sz val="12.0"/>
      </rPr>
      <t xml:space="preserve">
</t>
    </r>
    <r>
      <rPr>
        <rFont val="Poppins"/>
        <color theme="1"/>
        <sz val="12.0"/>
      </rPr>
      <t>- Scan schedules and reports
- Sample Vulnerabilities Report with impact analysis and timelines
- Communication records to departments for remediation actions
- Integration reference to Patch Management processes</t>
    </r>
  </si>
  <si>
    <t>4.3.3</t>
  </si>
  <si>
    <t xml:space="preserve">Perform vulnerability scans triggered by distinct events (e.g. product release, major technical change, new equipment added to networks). </t>
  </si>
  <si>
    <t>- Event-triggered vulnerability scan reports (e.g., post-release, post-incident)
- Change request records with associated vulnerability scans
- Vulnerability scanning SOP defining event-based trigger criteria
- Evidence of scans initiated following product releases or environmental changes</t>
  </si>
  <si>
    <t>4.3.4</t>
  </si>
  <si>
    <t>Use specialized and automated vulnerability scanning tools (e.g. dedicated tools for webservers, mobile apps).</t>
  </si>
  <si>
    <t>- Vulnerability scanning tool licensing and configuration records
- Automated scan schedule and scan output reports
- Tool integration logs showing automated vulnerability discovery
- Comparison of manual vs. automated scan coverage</t>
  </si>
  <si>
    <t>4.3.5</t>
  </si>
  <si>
    <t>Enhance vulnerability classification and reporting based on inputs from other sources (e.g. penetration testing, threat intelligence).</t>
  </si>
  <si>
    <t>- Vulnerability classification criteria incorporating threat intelligence inputs
- Vulnerability reports enriched with threat intelligence data
- Integration records between threat intelligence feed and vulnerability management tool
- Enhanced vulnerability reporting templates or dashboard screenshots</t>
  </si>
  <si>
    <t>4.3.6</t>
  </si>
  <si>
    <r>
      <rPr>
        <rFont val="Poppins"/>
        <color theme="1"/>
        <sz val="12.0"/>
      </rPr>
      <t>Continuously measure, review and optimize the</t>
    </r>
    <r>
      <rPr>
        <rFont val="Times New Roman"/>
        <b/>
        <color theme="1"/>
        <sz val="12.0"/>
      </rPr>
      <t xml:space="preserve"> [Requirements for Vulnerability Management]</t>
    </r>
    <r>
      <rPr>
        <rFont val="Times New Roman"/>
        <color theme="1"/>
        <sz val="12.0"/>
      </rPr>
      <t xml:space="preserve"> as well as the effectiveness of the process.</t>
    </r>
  </si>
  <si>
    <t>- Periodic review records for Requirements for Vulnerability Management
- Updated Vulnerability Management Policy version history
- Review meeting minutes with management approval
- Vulnerability management KPIs and trend analysis reports</t>
  </si>
  <si>
    <t>4.4.1</t>
  </si>
  <si>
    <t>Define and document [Requirements for Patch Management] which consider the following:
• Scope of the patch management
• Tools and techniques and patch management triggers
• Patch testing environment
• The frequency (incorporating regular patching)</t>
  </si>
  <si>
    <t>- Review the Patch Management Requirements document to confirm inclusion of defined scope (e.g., systems, applications), tools used (e.g., WSUS, Endpoint Central), patch triggers (e.g., security bulletin), and test environment setup.
- Validate that patching frequency (e.g., weekly, monthly) is documented and aligned to system criticality</t>
  </si>
  <si>
    <t>- Patch Management Requirements document
- Patch classification and testing guidelines
- Patch calendar or schedule
- Approval/review history</t>
  </si>
  <si>
    <t>4.4.2</t>
  </si>
  <si>
    <t>Define and implement a (Patch Management) process that develops a [Remediation Plan] considering the following aspects:
• [Vulnerabilities Report]
• [Cybersecurity Risk Assessment]
• Testing the patches before deploying in production and creating necessary backups based on the risk assessment results
• [Change Management]
• Regular patch releases</t>
  </si>
  <si>
    <t>- Review the implemented patching process including risk-based prioritization and planning of remediation.
- Verify use of vulnerability reports and risk assessments for patch prioritization.
- Ensure test results and backup records are available.
- Check integration with Change Management for patch approvals and rollouts.</t>
  </si>
  <si>
    <t>- Patch Management SOP
- Sample Remediation Plans
- Test reports and backup logs
- Change request forms for patch deployment
- Patch rollout and validation checklist
- Evidence of Non-Production Environment to test Patches</t>
  </si>
  <si>
    <t>It was noted that the organization’s Vulnerability Patch and Hardening Policy (ARK-IS-ISO-POL-11) defines a strong Patch Management Process, 
It was noted that the organization’s Change Management Process fully supports these requirements.</t>
  </si>
  <si>
    <t>4.4.3</t>
  </si>
  <si>
    <t>Ensure that the installed patches are successful and that the detected vulnerabilities have been remediated.</t>
  </si>
  <si>
    <t>- Post-patch validation reports or test results
- Patch success confirmation records from ITSM or change management system
- Vulnerability scan results post-patching confirming remediation
- Patch failure and remediation tracking log</t>
  </si>
  <si>
    <t>4.4.4</t>
  </si>
  <si>
    <r>
      <rPr>
        <rFont val="Poppins"/>
        <color theme="1"/>
        <sz val="12.0"/>
      </rPr>
      <t xml:space="preserve">Enhance and implement the </t>
    </r>
    <r>
      <rPr>
        <rFont val="Times New Roman"/>
        <b/>
        <color theme="1"/>
        <sz val="12.0"/>
      </rPr>
      <t>[Requirements for Patch Management]</t>
    </r>
    <r>
      <rPr>
        <rFont val="Times New Roman"/>
        <color theme="1"/>
        <sz val="12.0"/>
      </rPr>
      <t xml:space="preserve"> to include emergency patch activities for highly critical vulnerabilities.</t>
    </r>
  </si>
  <si>
    <t>- Emergency Patch Management process or SOP
- Records of emergency patches applied outside standard patch cycle
- Emergency change request tickets with risk assessment and approvals
- Updated Requirements for Patch Management incorporating emergency patch handling</t>
  </si>
  <si>
    <t>4.4.5</t>
  </si>
  <si>
    <t>Apply patch packages (or software updates) on a regular basis for all the information assets.</t>
  </si>
  <si>
    <t>- Regular patch deployment schedule and patch release calendar
- Patch deployment logs covering all in-scope information assets
- Monthly/quarterly patch compliance report
- ITSM records of recurring patch deployment activities</t>
  </si>
  <si>
    <t>4.4.6</t>
  </si>
  <si>
    <t>Automate and enforce patch management wherever possible (e.g. end user devices).</t>
  </si>
  <si>
    <t>- Automated patch management tool configuration and deployment logs
- Patch automation policy or group policy settings (e.g., WSUS, SCCM, Intune)
- Automated patch compliance dashboard screenshots
- Evidence of automated enforcement on end-user devices</t>
  </si>
  <si>
    <t>Done Through microsoft intune.</t>
  </si>
  <si>
    <t>4.4.7</t>
  </si>
  <si>
    <r>
      <rPr>
        <rFont val="Poppins"/>
        <color theme="1"/>
        <sz val="12.0"/>
      </rPr>
      <t xml:space="preserve">Enhance the </t>
    </r>
    <r>
      <rPr>
        <rFont val="Times New Roman"/>
        <b/>
        <color theme="1"/>
        <sz val="12.0"/>
      </rPr>
      <t>[Remediation Plan]</t>
    </r>
    <r>
      <rPr>
        <rFont val="Times New Roman"/>
        <color theme="1"/>
        <sz val="12.0"/>
      </rPr>
      <t xml:space="preserve"> and execute it based on threat intelligence, </t>
    </r>
    <r>
      <rPr>
        <rFont val="Times New Roman"/>
        <b/>
        <color theme="1"/>
        <sz val="12.0"/>
      </rPr>
      <t>[Penetration Testing]</t>
    </r>
    <r>
      <rPr>
        <rFont val="Times New Roman"/>
        <color theme="1"/>
        <sz val="12.0"/>
      </rPr>
      <t>, and other sources.</t>
    </r>
  </si>
  <si>
    <t>- Threat intelligence-informed Remediation Plan
- Remediation Plan updates triggered by threat intelligence or penetration test findings
- Execution records of remediation actions with priority ratings
- Threat intelligence feeds integrated into remediation prioritization process</t>
  </si>
  <si>
    <t xml:space="preserve">
</t>
  </si>
  <si>
    <t>4.4.8</t>
  </si>
  <si>
    <r>
      <rPr>
        <rFont val="Poppins"/>
        <color theme="1"/>
        <sz val="12.0"/>
      </rPr>
      <t xml:space="preserve">Continuously measure, review and optimize the </t>
    </r>
    <r>
      <rPr>
        <rFont val="Times New Roman"/>
        <b/>
        <color theme="1"/>
        <sz val="12.0"/>
      </rPr>
      <t>[Requirements for Patch Management]</t>
    </r>
    <r>
      <rPr>
        <rFont val="Times New Roman"/>
        <color theme="1"/>
        <sz val="12.0"/>
      </rPr>
      <t xml:space="preserve"> as well as the effectiveness of the process.</t>
    </r>
  </si>
  <si>
    <t>- Periodic review records for Requirements for Patch Management
- Updated Patch Management Policy version history
- Review meeting minutes with management sign-off
- Patch management effectiveness metrics and KPI reports</t>
  </si>
  <si>
    <t>4.5.1</t>
  </si>
  <si>
    <t>Define and document [Requirements for Network Security] which consider the following:
• Managing and controlling the security of the networks operated by the organization and the information assets connected to it
• Segregation of networks
• Security requirements to protect the network services and the information transferred through it</t>
  </si>
  <si>
    <t>- Review the documented Requirements for Network Security to confirm inclusion of design, protection, and segmentation strategies.
- Verify that roles and responsibilities for managing network security are clearly defined.
- Validate documentation for protecting traffic between trusted/untrusted zones.</t>
  </si>
  <si>
    <t>- Network Security Policy
- Network design and segmentation architecture
- Firewall and zoning strategy documentation</t>
  </si>
  <si>
    <t>It was noted that ARKAN’s Network &amp; Security Devices Policy is comprehensive and covers almost all expected requirements for Controls 4.5.1 through 4.5.9.
- Network architecture diagrams support the existence of clear segmentation between internal, customer, public, and VoIP networks.
- Firewall configs (OCI, Azure, AWS) show that strict filtering of trusted protocols and IP ranges is enforced.
- VoIP signaling and media are protected by TLS and strong firewall rules.
- Customer networks are clearly isolated from ARKAN’s internal operational network.
- SNMP, NTP, IDS/IPS, proxy filtering  - all required elements are covered in Network &amp; Security Devices Policy.</t>
  </si>
  <si>
    <t>4.5.2</t>
  </si>
  <si>
    <t>Document the [Network Plan] which clearly reflects the actual state of the network (e.g. all connections into the networks, network devices, critical servers).</t>
  </si>
  <si>
    <t>- Review the documented Network Plan or topology diagrams.
- Cross-check if it reflects real-time or near-real-time asset location and connection information.
-Validate updates after major network changes.</t>
  </si>
  <si>
    <t>- Latest network topology or blueprint
- Asset inventory linked to network devices
- Change logs or revision history
- Mapping of critical servers and connections</t>
  </si>
  <si>
    <t>4.5.3</t>
  </si>
  <si>
    <t xml:space="preserve">Ensure that the incoming and outgoing traffic is controlled (e.g. preventing malicious traffic, monitoring the traffic loads of switching facilities, controlling unwanted communication such as email, SMS) based on the [Requirements for Network Security].
</t>
  </si>
  <si>
    <t>- Inspect firewall, proxy, and email/SMS gateway rules.
- Verify alerts or block rules for DDoS, malware, and unauthorized traffic.
- Confirm alignment with documented network security policy.</t>
  </si>
  <si>
    <t>- Network Diagram</t>
  </si>
  <si>
    <t>4.5.4</t>
  </si>
  <si>
    <t>Ensure that only trusted and authorized protocols and IP address ranges are allowed to cross the boundary (e.g. using firewalls). Disable unused protocols, (e.g. disabling IPv6 if not used) on the equipment to reduce the attack surface on the network.</t>
  </si>
  <si>
    <t>- Review firewall configurations and IP allowlists.
- Validate port and protocol usage reviews.
- Check enforcement of unused protocol restrictions (e.g. ICMP, FTP, Telnet).</t>
  </si>
  <si>
    <t>- Firewall and router ACL configuration files (screenshots that show that it exists would suffice)
- Protocol usage logs
- Port and service hardening checklist
- Network device baseline configurations</t>
  </si>
  <si>
    <t>4.5.5</t>
  </si>
  <si>
    <t>Protect the information transferred (e.g. from interception, copying, modification) through the organization's network and ensure that the confidentiality and integrity of the information are maintained (e.g. encryption).</t>
  </si>
  <si>
    <t>- Review encryption standards for data in transit (e.g. TLS 1.2+, VPN tunnels).
- Check enforcement of secure protocols (HTTPS, SFTP) across applications.
- Verify DPI (deep packet inspection) configurations if applicable.</t>
  </si>
  <si>
    <t>- Encryption and Key management policy
- SSL/TLS certificate inventory or evidence of it enforced
- VPN configuration screenshots
- Penetration test reports validating encryption in transit (screenshots should suffice, if not a redacted report would be beneficial)</t>
  </si>
  <si>
    <t>4.5.6</t>
  </si>
  <si>
    <t>Segregate the network into zones (e.g. domains, subnets) depending on the criticality of the information assets or services present in those zones (e.g. isolating production network from development and testing networks, separating network containing user workstations from authentication servers).</t>
  </si>
  <si>
    <t>- Review VLAN/subnet segregation implementation.
- Check firewall rules between zones.
- Validate mapping of asset criticality to network zoning.</t>
  </si>
  <si>
    <t>- Network segmentation evidence
- VLAN/subnet segregation implementation
- Asset classification vs. network zone mapping
- Penetration test or red team validation</t>
  </si>
  <si>
    <t>4.5.7</t>
  </si>
  <si>
    <t>Restrict the access to the organization's network (both wired and wireless networks) based on the access control list [Identity and Access Management].</t>
  </si>
  <si>
    <t>- Review ACL configurations for routers, switches, and wireless controllers.
- Verify that access is restricted to authorized MAC addresses, IP ranges, and authenticated users.
- Cross-reference with IAM policy and RBAC mappings.</t>
  </si>
  <si>
    <t>- ACL or NAC policy documents
- Access logs from wireless controllers or switches
- Identity-based access control configuration
- Evidence of network access revocation process</t>
  </si>
  <si>
    <t>4.5.8</t>
  </si>
  <si>
    <t>Secure the end user data, voice and signaling information transferred through the organization's telecommunications network (e.g. VoIP/SIP traffic, SS7).</t>
  </si>
  <si>
    <t>- Confirm implementation of encryption or tunneling protocols for VoIP/SIP (e.g., TLS, SRTP).
- Validate firewalls or SBC (Session Border Controllers) are used to secure signaling paths.
- Review call logs for anomalies or tampering</t>
  </si>
  <si>
    <t>- VoIP/SIP encryption configuration (screenshots)
- Telecom network design diagram
- SBC deployment reports
- Logs or audit results for signaling protection</t>
  </si>
  <si>
    <t>It was noted that the organization provided a detailed SIP Architecture Diagram showing:
- Use of Ribbon SBCs and Brekeke SIP Proxy in a segmented Distributed Network Core.
- Ingress and Egress controlled via Ribbon SBC 
It was noted that the architecture suggests the capability to enforce SIP over TLS and SRTP, as Ribbon SBC and Brekeke Proxy both support these standards.</t>
  </si>
  <si>
    <t>4.5.9</t>
  </si>
  <si>
    <t>Segregate the hosted customer network from the organization's telecommunication operational network.</t>
  </si>
  <si>
    <t>- Review logical and physical network separation strategy (e.g., VLANs, dedicated routers).
- Validate there are no direct routes between hosted and internal networks.
- Confirm access policies and firewall rules block cross-traffic.</t>
  </si>
  <si>
    <t>- Network segmentation diagram
- Firewall ACLs between customer and internal networks
- VLAN or SDN separation configuration
- VAPT reports confirming no cross-contamination</t>
  </si>
  <si>
    <t>It was noted that the organization provided a SIP Architecture Diagram which conceptually shows segregation between the Customer SBC / PBX network and the internal Distributed Network Core</t>
  </si>
  <si>
    <t>4.5.10</t>
  </si>
  <si>
    <t xml:space="preserve">Cooperate with other organizations that own or operate interconnected networks with the organization’s network to detect and protect the connected users and the networks from malicious acts (e.g. to block email spams, DDoS, abnormal traffic patterns, implement Caller ID authentication to block illegal caller ID spoofing). </t>
  </si>
  <si>
    <t>- Interconnection agreements or MOUs with other network operators
- Network peering policies and security requirements documentation
- Communication records with interconnected organizations on cybersecurity matters
- Joint security incident notification or coordination records</t>
  </si>
  <si>
    <t>4.5.11</t>
  </si>
  <si>
    <t>Ensure that the interfaces (e.g. Internet Exchange Points) to other networks are appropriately secured (e.g. securing BGP infrastructure, implementing high availability through redundancy, using strong cryptography).</t>
  </si>
  <si>
    <t>- Interface security configuration documentation for Internet Exchange Points
- Firewall/ACL rules governing external network interfaces
- Network perimeter security assessment records
- Monitoring logs for traffic at external network interface points</t>
  </si>
  <si>
    <t>4.5.12</t>
  </si>
  <si>
    <r>
      <rPr>
        <rFont val="Poppins"/>
        <color theme="1"/>
        <sz val="12.0"/>
      </rPr>
      <t xml:space="preserve">Enhance and implement the </t>
    </r>
    <r>
      <rPr>
        <rFont val="Times New Roman"/>
        <b/>
        <color theme="1"/>
        <sz val="12.0"/>
      </rPr>
      <t>[Requirements for Network Security]</t>
    </r>
    <r>
      <rPr>
        <rFont val="Times New Roman"/>
        <color theme="1"/>
        <sz val="12.0"/>
      </rPr>
      <t xml:space="preserve"> to handle internal and external attacks (e.g. DoS/DDoS) against the organization's network.</t>
    </r>
  </si>
  <si>
    <t>- Updated Requirements for Network Security covering internal threat handling
- Internal network segmentation design and enforcement records
- East-west traffic monitoring configuration and logs
- Internal threat detection rules and alert records</t>
  </si>
  <si>
    <t>There are DDoS protections done via the cloud provider, with enhanced protection through the RAMP proxies</t>
  </si>
  <si>
    <t>4.5.13</t>
  </si>
  <si>
    <t>Ensure that mechanisms are in place at the ICT facilities to detect and avoid network congestion which results in disruptions of services (e.g. implementation of additional facilities to balance the traffic load).</t>
  </si>
  <si>
    <t>- Network traffic anomaly detection tool configuration and alert logs
- Anti-spoofing and loop prevention mechanism configurations
- Network device monitoring records for ICT facilities
- Incident reports related to detected network attacks or anomalies</t>
  </si>
  <si>
    <t>Done through load balancer (RAMP)</t>
  </si>
  <si>
    <t>4.5.14</t>
  </si>
  <si>
    <t>Use specific tools to analyze and filter all traffic (e.g. port filtering, host-based filtering) to detect any unauthorized traffic in the network.</t>
  </si>
  <si>
    <t>- Traffic analysis and filtering tool configuration (e.g., IDS/IPS, port filtering)
- Host-based filtering rules and enforcement logs
- Traffic analysis reports showing blocked or flagged activity
- Tool licensing and deployment scope documentation</t>
  </si>
  <si>
    <t>Done through RAMP</t>
  </si>
  <si>
    <t>4.5.15</t>
  </si>
  <si>
    <r>
      <rPr>
        <rFont val="Poppins"/>
        <color theme="1"/>
        <sz val="12.0"/>
      </rPr>
      <t xml:space="preserve">Continuously measure, review and optimize the </t>
    </r>
    <r>
      <rPr>
        <rFont val="Times New Roman"/>
        <b/>
        <color theme="1"/>
        <sz val="12.0"/>
      </rPr>
      <t>[Requirements for Network Security]</t>
    </r>
    <r>
      <rPr>
        <rFont val="Times New Roman"/>
        <color theme="1"/>
        <sz val="12.0"/>
      </rPr>
      <t>.</t>
    </r>
  </si>
  <si>
    <t>- Periodic review records for Requirements for Network Security
- Updated Network Security Policy version history
- Review meeting minutes with management approval
- Network security KPIs and effectiveness metrics reports</t>
  </si>
  <si>
    <t>4.6.1</t>
  </si>
  <si>
    <t>Define and document [Requirements for Logging and Monitoring] which consider the following:
• Logging the events (e.g. login attempts, configuration changes, firewall logs) related to the information assets which belong to the organization
• Monitoring of the event logs and analysis of the detected events
• Required retention period and protection of the event logs</t>
  </si>
  <si>
    <t>- Review the Logging and Monitoring Requirements document to confirm it addresses event types to be logged, log sources, retention policies, and monitoring practices.
- Check that log integrity and access control mechanisms are defined.
- Verify regulatory alignment for log retention (e.g., 12 months).</t>
  </si>
  <si>
    <t>- SIEM Solution implementation evidence
- Log retention policy and storage configuration
- List of monitored log sources
- Access control or encryption policies for log storage</t>
  </si>
  <si>
    <t>It was noted that the organization’s Logging Audit Trail Monitoring Policy (ARK-IS-ISO-POL-06) provides a well-aligned set of Requirements for Logging and Monitoring:
- Specifies required events to be logged.
- Specifies monitoring and analysis processes.
- Specifies required retention period (12 months).
- Specifies protection requirements for logs be protected from unauthorized access and tampering.
It was noted that no SIEM architecture, Log Management architecture, or practical monitoring evidence (reports, alerts) were provided.</t>
  </si>
  <si>
    <t>- No SIEM architecture or central log management architecture provided. Hence, cannot confirm that logs are centrally protected</t>
  </si>
  <si>
    <t>It is recommended to implement a centralized log management platform (SIEM) to centrally analyze and protect logs</t>
  </si>
  <si>
    <t>4.6.2</t>
  </si>
  <si>
    <t>Activate event logging and record the event logs (e.g. user activities, exceptions, information security events, privileged operations) related to the information assets.</t>
  </si>
  <si>
    <t>- Review configurations from systems, applications, and network devices to ensure event logging is enabled.
- Confirm that user and administrative actions, security events, and error logs are collected.
- Cross-check event logs for sample assets.</t>
  </si>
  <si>
    <t>- Screenshots or exports from SIEM or other logging tools (e.g., syslog)
- Sample log entries showing user and privileged activity
- Asset log configuration documentation
- Tool coverage report showing logging status</t>
  </si>
  <si>
    <t>It was noted that the organization’s Logging Audit Trail Monitoring Policy (ARK-IS-ISO-POL-06) provides strong Requirements for Logging, clearly defining that:
- User activities, exceptions, information security events, and privileged operations must be logged.
-Logging must be activated on relevant systems.</t>
  </si>
  <si>
    <t>4.6.3</t>
  </si>
  <si>
    <t>Protect log information and logging facilities from unauthorized access and tampering.</t>
  </si>
  <si>
    <t>- Verify that logs are stored in secured, access-controlled locations (e.g., SIEM, WORM storage).
- Check configurations for encryption, write-once storage, or immutable logs.
- Validate access control list and role-based permissions for log access.</t>
  </si>
  <si>
    <t>- ACL configuration screenshots for log servers
- Evidence of log encryption in transit and at rest
- Tamper-evidence logs or WORM policy
- Access control review logs to the SIEM or monitoring tool</t>
  </si>
  <si>
    <t>4.6.4</t>
  </si>
  <si>
    <t>Periodically review the event logs and report suspicus events and deiotected anomalies to the responsible personnel [Incident Management]</t>
  </si>
  <si>
    <t>- Confirm review frequency and responsible teams (e.g., SOC).
- Review incident response records linked to log anomalies.
- Validate alerts, correlation rules, and escalation flow</t>
  </si>
  <si>
    <r>
      <rPr>
        <rFont val="Poppins"/>
        <color theme="1"/>
        <sz val="12.0"/>
      </rPr>
      <t xml:space="preserve">- </t>
    </r>
    <r>
      <rPr>
        <rFont val="Poppins"/>
        <b/>
        <color theme="1"/>
        <sz val="12.0"/>
      </rPr>
      <t>Log review schedule or SOP</t>
    </r>
    <r>
      <rPr>
        <rFont val="Poppins"/>
        <color theme="1"/>
        <sz val="12.0"/>
      </rPr>
      <t xml:space="preserve">
- </t>
    </r>
    <r>
      <rPr>
        <rFont val="Poppins"/>
        <b/>
        <color theme="1"/>
        <sz val="12.0"/>
      </rPr>
      <t>Incident tickets tied to log anomalies</t>
    </r>
    <r>
      <rPr>
        <rFont val="Poppins"/>
        <color theme="1"/>
        <sz val="12.0"/>
      </rPr>
      <t xml:space="preserve">
- </t>
    </r>
    <r>
      <rPr>
        <rFont val="Poppins"/>
        <b/>
        <color theme="1"/>
        <sz val="12.0"/>
      </rPr>
      <t>SIEM alerts and correlation rule samples</t>
    </r>
    <r>
      <rPr>
        <rFont val="Poppins"/>
        <color theme="1"/>
        <sz val="12.0"/>
      </rPr>
      <t xml:space="preserve">
-</t>
    </r>
    <r>
      <rPr>
        <rFont val="Poppins"/>
        <b/>
        <color theme="1"/>
        <sz val="12.0"/>
      </rPr>
      <t xml:space="preserve"> Escalation matrix for suspicious events</t>
    </r>
  </si>
  <si>
    <t>It was noted that the organization’s Logging Audit Trail Monitoring Policy (ARK-IS-ISO-POL-06) defines a strong process for periodic review of event logs:
- Review frequency is implied but not explicitly defined in the sections reviewed. This could be improved.
- Responsible roles are clearly defined.
It was noted that Reporting of suspicious events and anomalies to the Incident Management Process is well supported:
- Logging Policy and Incident Management Policy (ARK-IS-ISO-POL-15) are aligned.</t>
  </si>
  <si>
    <t>4.6.5</t>
  </si>
  <si>
    <t>Retain the logs for a defined time duration as specified in the requirements (e.g. 12 months)</t>
  </si>
  <si>
    <t>- Review storage and archiving configurations for logs.
- Check if log rotation, archival, and retrieval processes are implemented and documented.
- Validate that logs are not overwritten before the minimum retention period</t>
  </si>
  <si>
    <r>
      <rPr>
        <rFont val="Poppins"/>
        <b/>
        <color theme="1"/>
        <sz val="12.0"/>
      </rPr>
      <t xml:space="preserve">- Log retention policy
- SIEM or storage configuration showing 12-month retention
- Archival logs or rotation settings
</t>
    </r>
    <r>
      <rPr>
        <rFont val="Poppins"/>
        <color theme="1"/>
        <sz val="12.0"/>
      </rPr>
      <t>- Evidence of successful log restoration (if requested)</t>
    </r>
  </si>
  <si>
    <t>It was noted that:
The Policy (ARK-IS-ISO-POL-06) correctly aligns with CST CRF expectation , which is 12 months minimum.
However,
The Procedure (ARK-IS-ISO-PRO-08) contradicts it where it mentions a minimum of 3 months retention.</t>
  </si>
  <si>
    <t>4.6.6</t>
  </si>
  <si>
    <t>Collect, monitor and, analyze events using a log management tool (e.g. SIEM) that includes advanced detection and integration capabilities.</t>
  </si>
  <si>
    <t>- SIEM tool configuration and deployment records
- Log collection coverage report (sources, formats, volume)
- SIEM use-case documentation and alert rule configuration
- Log analysis reports and event correlation records</t>
  </si>
  <si>
    <t xml:space="preserve">- No SIEM architecture or central log management architecture provided. Hence, advanced and automated detection and integration capabilities are not implemented </t>
  </si>
  <si>
    <t>4.6.7</t>
  </si>
  <si>
    <t>Real-time monitoring and review of the event logs of critical information assets.</t>
  </si>
  <si>
    <t>- Real-time monitoring dashboard screenshots for critical assets
- Alert records and escalation logs for critical asset events
- On-call or SOC shift logs demonstrating continuous monitoring
- SLA or SLO documentation for critical asset monitoring response times</t>
  </si>
  <si>
    <t>Monitoring dashboard and alerting is implemented through Defender for Cloud on Microsoft Azure</t>
  </si>
  <si>
    <t>4.6.8</t>
  </si>
  <si>
    <t>Improve the event detection methods by the use of dedicated tools (e.g. Threat Intelligence Platforms) to update the rules of the log management tools.</t>
  </si>
  <si>
    <t>- Threat Intelligence Platform (TIP) or tool licensing and configuration records
- Integration records between threat intelligence and event detection rules
- Threat-informed detection rule updates with implementation evidence
- Threat hunting activity records or reports</t>
  </si>
  <si>
    <t>4.6.9</t>
  </si>
  <si>
    <r>
      <rPr>
        <rFont val="Poppins"/>
        <color theme="1"/>
        <sz val="12.0"/>
      </rPr>
      <t xml:space="preserve">Continuously measure, review and optimize the </t>
    </r>
    <r>
      <rPr>
        <rFont val="Times New Roman"/>
        <b/>
        <color theme="1"/>
        <sz val="12.0"/>
      </rPr>
      <t>[Requirements for Logging and Monitoring]</t>
    </r>
    <r>
      <rPr>
        <rFont val="Times New Roman"/>
        <color theme="1"/>
        <sz val="12.0"/>
      </rPr>
      <t>.</t>
    </r>
  </si>
  <si>
    <t>- Periodic review records for Requirements for Logging and Monitoring
- Updated Logging and Monitoring Policy version history
- Review meeting minutes with management sign-off
- Monitoring effectiveness metrics and coverage reports</t>
  </si>
  <si>
    <t>4.7.1</t>
  </si>
  <si>
    <t>Define and document [Requirements for Identity and Access Management] which consider the following:
User accounts, privilege accounts, granting, and revoking access rights
Authentication and authorization requirements (e.g. in case of remote access, two-factor authentication)
Password management requirements</t>
  </si>
  <si>
    <t>- Review the IAM Requirements document for inclusion of user types (standard, privileged), conditions for granting/revoking access, and password policies.
- Validate that multi-factor authentication and authorization requirements are explicitly addressed for remote access and critical systems.</t>
  </si>
  <si>
    <r>
      <rPr>
        <rFont val="Poppins"/>
        <color theme="1"/>
        <sz val="12.0"/>
      </rPr>
      <t xml:space="preserve">- IAM Requirements policy
- </t>
    </r>
    <r>
      <rPr>
        <rFont val="Poppins"/>
        <b/>
        <color theme="1"/>
        <sz val="12.0"/>
      </rPr>
      <t>Access rights matrix</t>
    </r>
    <r>
      <rPr>
        <rFont val="Poppins"/>
        <color theme="1"/>
        <sz val="12.0"/>
      </rPr>
      <t xml:space="preserve">
- </t>
    </r>
    <r>
      <rPr>
        <rFont val="Poppins"/>
        <b/>
        <color theme="1"/>
        <sz val="12.0"/>
      </rPr>
      <t>MFA and password policies</t>
    </r>
    <r>
      <rPr>
        <rFont val="Poppins"/>
        <color theme="1"/>
        <sz val="12.0"/>
      </rPr>
      <t xml:space="preserve">
- Approval record of the requirements document</t>
    </r>
  </si>
  <si>
    <t>It was noted that the organization’s Access Control Policy (ARK-IS-ISO-POL-01) provides a strong and comprehensive set of Requirements for Identity and Access Management, covering:
- User and Privileged Account Management.
- Authentication and Authorization Requirements.
- Password Management Requirements.</t>
  </si>
  <si>
    <t>4.7.2</t>
  </si>
  <si>
    <t>Define and implement a process to {Allocate/Revoke User Rights} considering:
Assign access rights to the users based on what they are authorized to use (e.g. Role Based Access Control)
Reallocate the user access rights upon change of job functions (e.g. changing departments)
Manage user authentication and authorization based on the access control principle (e.g. need-to-know, need-to-use, principle of least privilege, and segregation of duties) and maintain an up-to-date [Access Control List]
Revoke access rights to the information systems upon change of contractual agreements (e.g. termination of employment)</t>
  </si>
  <si>
    <t>- Review the documented access provisioning and revocation process.
- Validate RBAC implementation and that changes in roles trigger access reassessment.
-Ensure periodic reviews of the Access Control List are conducted.
- Confirm that terminated users’ access is promptly revoked</t>
  </si>
  <si>
    <r>
      <rPr>
        <rFont val="Poppins"/>
        <color theme="1"/>
        <sz val="12.0"/>
      </rPr>
      <t>- SOP for Allocate/Revoke User Rights</t>
    </r>
    <r>
      <rPr>
        <rFont val="Poppins"/>
        <b/>
        <color theme="1"/>
        <sz val="12.0"/>
      </rPr>
      <t xml:space="preserve">
</t>
    </r>
    <r>
      <rPr>
        <rFont val="Poppins"/>
        <color theme="1"/>
        <sz val="12.0"/>
      </rPr>
      <t>- Role to permission mapping</t>
    </r>
    <r>
      <rPr>
        <rFont val="Poppins"/>
        <b/>
        <color theme="1"/>
        <sz val="12.0"/>
      </rPr>
      <t xml:space="preserve">
</t>
    </r>
    <r>
      <rPr>
        <rFont val="Poppins"/>
        <color theme="1"/>
        <sz val="12.0"/>
      </rPr>
      <t>- Recent Access Control List with version/date</t>
    </r>
    <r>
      <rPr>
        <rFont val="Poppins"/>
        <b/>
        <color theme="1"/>
        <sz val="12.0"/>
      </rPr>
      <t xml:space="preserve">
- Deprovisioning logs and termination access reports</t>
    </r>
    <r>
      <rPr>
        <rFont val="Poppins"/>
        <color theme="1"/>
        <sz val="12.0"/>
      </rPr>
      <t xml:space="preserve"> </t>
    </r>
    <r>
      <rPr>
        <rFont val="Poppins"/>
        <b/>
        <color theme="1"/>
        <sz val="12.0"/>
      </rPr>
      <t xml:space="preserve">(including the list of users who has left the firm from HR to ensure completeness and accuracy)
- Access Provision and Role Change requests (tickets/ if mails how do you track)
</t>
    </r>
  </si>
  <si>
    <r>
      <rPr>
        <rFont val="Poppins"/>
        <color theme="1"/>
        <sz val="12.0"/>
      </rPr>
      <t xml:space="preserve">It was noted that:
- The process to Allocate/Reallocate/Revoke User Rights is clearly documented.
- Process strongly supports RBAC, Least Privilege, Need-to-know, Segregation of Duties.
- Periodic review and ACL maintenance are explicitly required
</t>
    </r>
    <r>
      <rPr>
        <rFont val="Poppins"/>
        <b/>
        <color theme="1"/>
        <sz val="12.0"/>
      </rPr>
      <t>AWAITING EVIDENCE</t>
    </r>
  </si>
  <si>
    <t>4.7.3</t>
  </si>
  <si>
    <t>Control and restrict the allocation and use of privilege access rights</t>
  </si>
  <si>
    <t>- Validate the approval workflow for privilege access (e.g. Domain Admins, DBAs).
- Review privileged session monitoring controls and enforcement of least privilege.
Check PAM (Privileged Access Management) solutions in place.</t>
  </si>
  <si>
    <r>
      <rPr>
        <rFont val="Poppins"/>
        <color theme="1"/>
        <sz val="12.0"/>
      </rPr>
      <t xml:space="preserve">- </t>
    </r>
    <r>
      <rPr>
        <rFont val="Poppins"/>
        <b/>
        <color theme="1"/>
        <sz val="12.0"/>
      </rPr>
      <t>Privileged access request forms</t>
    </r>
    <r>
      <rPr>
        <rFont val="Poppins"/>
        <color theme="1"/>
        <sz val="12.0"/>
      </rPr>
      <t xml:space="preserve">
- </t>
    </r>
    <r>
      <rPr>
        <rFont val="Poppins"/>
        <b/>
        <color theme="1"/>
        <sz val="12.0"/>
      </rPr>
      <t>List of current privilege accounts</t>
    </r>
    <r>
      <rPr>
        <rFont val="Poppins"/>
        <color theme="1"/>
        <sz val="12.0"/>
      </rPr>
      <t xml:space="preserve">
- </t>
    </r>
    <r>
      <rPr>
        <rFont val="Poppins"/>
        <b/>
        <color theme="1"/>
        <sz val="12.0"/>
      </rPr>
      <t>Logs from PAM or monitoring tools, if any or from the applications or systems</t>
    </r>
    <r>
      <rPr>
        <rFont val="Poppins"/>
        <color theme="1"/>
        <sz val="12.0"/>
      </rPr>
      <t xml:space="preserve">
- Session review records
</t>
    </r>
    <r>
      <rPr>
        <rFont val="Poppins"/>
        <b/>
        <color theme="1"/>
        <sz val="12.0"/>
      </rPr>
      <t>- KPI Measurement Evidence</t>
    </r>
  </si>
  <si>
    <t>It was noted that the organization’s Access Control Policy (ARK-IS-ISO-POL-01) and IAM Procedure (ARK-IS-PRO-02-IAM_V1.0) provide a strong and comprehensive framework for Privileged Access Management, covering:
- Controlled allocation of privileged access
- Restricted use of privileged access 
- Periodic review of privileged access. There is a KPI measurement for this</t>
  </si>
  <si>
    <t>4.7.4</t>
  </si>
  <si>
    <t>Provide multi-factor authentication for access to sensitive and critical information systems as well as for remote access.</t>
  </si>
  <si>
    <t>- Confirm MFA is enforced on all sensitive systems (email, VPN, ERP, critical apps).
- Review system settings for MFA enforcement and exception handling.
- Validate secure OTP delivery or authenticator methods</t>
  </si>
  <si>
    <t>- MFA policy
- Authentication settings from tools/solutions/applications
- Logs showing MFA challenge/response
- User lists with MFA status</t>
  </si>
  <si>
    <t xml:space="preserve">It was noted that the organization’s Access Control Policy (ARK-IS-ISO-POL-01) clearly defines a requirement for MFA to be implemented and enforced for:
- Remote Access.
- Sensitive and Critical Information Systems.
It was noted that the IAM Procedure (ARK-IS-PRO-02-IAM_V1.0) supports the principle of strong authentication </t>
  </si>
  <si>
    <t>4.7.5</t>
  </si>
  <si>
    <t>Enforce the password management requirements (e.g. use of strong passwords for authentication, regular password changes, account suspension and lockouts after multiple failed login attempts) and that the user authentication information is secured against disclosure (e.g. using encryption mechanisms during the transfer of authentication information).</t>
  </si>
  <si>
    <t>- Review password policies in identity systems (e.g. AD, Azure AD). 
- Validate enforcement of complexity, rotation, and lockout rules.
- Check password hash storage and encrypted transmission during login</t>
  </si>
  <si>
    <t>- Authentication configuration screenshots (complexity, lockout) - from Sample applications/systems based on the Asset Inventory
- Encryption protocol settings (e.g., TLS 1.2)
- Sample logs showing lockout enforcement</t>
  </si>
  <si>
    <t>It was noted that the organization’s Access Control Policy (ARK-IS-ISO-POL-01) provides a strong and comprehensive definition of Password Management Requirements:
- Requires complexity, expiry, lockout.
- Requires secure storage and encrypted transmission of authentication information.
It was noted that the IAM Procedure (ARK-IS-PRO-02-IAM_V1.0) supports these principles</t>
  </si>
  <si>
    <t>4.7.6</t>
  </si>
  <si>
    <t>Regularly review user identity and access rights (review frequency taking into consideration for e.g. different account types, criticality of the information assets) and ensure conformance to the access control principles (e.g. asset owner should regularly review user access rights).</t>
  </si>
  <si>
    <t>- Periodic access rights review records (user access review reports)
- Review frequency policy defining review intervals per role/system criticality
- Access recertification records signed off by system owners
- Access removal records resulting from review findings</t>
  </si>
  <si>
    <t>4.7.7</t>
  </si>
  <si>
    <r>
      <rPr>
        <rFont val="Poppins"/>
        <color theme="1"/>
        <sz val="12.0"/>
      </rPr>
      <t xml:space="preserve">Enhance and implement the </t>
    </r>
    <r>
      <rPr>
        <rFont val="Times New Roman"/>
        <b/>
        <color theme="1"/>
        <sz val="12.0"/>
      </rPr>
      <t>[Requirements for Identity and Access Management]</t>
    </r>
    <r>
      <rPr>
        <rFont val="Times New Roman"/>
        <color theme="1"/>
        <sz val="12.0"/>
      </rPr>
      <t xml:space="preserve"> to use tools to automate and centralize the identity and access management.</t>
    </r>
  </si>
  <si>
    <t>- Updated Requirements for Identity and Access Management incorporating advanced controls
- Multi-factor authentication (MFA) implementation evidence
- Privileged Access Management (PAM) solution configuration records
- Enhanced IAM policy or procedure version history</t>
  </si>
  <si>
    <t xml:space="preserve">This is already automated and managed through the cloud provider </t>
  </si>
  <si>
    <t>4.7.8</t>
  </si>
  <si>
    <t>Use dedicated systems for tasks that require administrative access (e.g. configuration of critical systems).</t>
  </si>
  <si>
    <t>- Privileged Access Workstation (PAW) or jump server configuration documentation
- Policy defining dedicated system requirements for administrative tasks
- Access records showing administrative tasks performed via dedicated systems
- Network segmentation records isolating administrative access systems</t>
  </si>
  <si>
    <t xml:space="preserve">No standalone PAM or jump server </t>
  </si>
  <si>
    <t>It is recommended to implement a jump server for critical tasks</t>
  </si>
  <si>
    <t>4.7.9</t>
  </si>
  <si>
    <r>
      <rPr>
        <rFont val="Poppins"/>
        <color theme="1"/>
        <sz val="12.0"/>
      </rPr>
      <t xml:space="preserve">Continuously measure, review and optimize the </t>
    </r>
    <r>
      <rPr>
        <rFont val="Times New Roman"/>
        <b/>
        <color theme="1"/>
        <sz val="12.0"/>
      </rPr>
      <t xml:space="preserve">[Requirements for Identity and Access Management] </t>
    </r>
    <r>
      <rPr>
        <rFont val="Times New Roman"/>
        <color theme="1"/>
        <sz val="12.0"/>
      </rPr>
      <t>as well as the effectiveness of the process.</t>
    </r>
  </si>
  <si>
    <t>- Periodic review records for Requirements for Identity and Access Management
- Updated IAM Policy version history
- Review meeting minutes with management approval
- IAM effectiveness metrics and access anomaly trend reports</t>
  </si>
  <si>
    <t>4.8.1</t>
  </si>
  <si>
    <t>Define and document [Requirements for Application Whitelisting] which consider the following:
A list of authorized software
Approved application whitelisting tools</t>
  </si>
  <si>
    <t>- Review the documented Requirements for Application Whitelisting to ensure it includes a defined list of authorized software types and a list of whitelisting tools in use.
- Confirm tools used (e.g. Windows AppLocker, Bit9, Ivanti, etc.) are approved and aligned with policy.
- Validate that the whitelisting requirements cover both enterprise-wide and specific business unit needs</t>
  </si>
  <si>
    <r>
      <rPr>
        <rFont val="Poppins"/>
        <color theme="1"/>
        <sz val="12.0"/>
      </rPr>
      <t xml:space="preserve">- </t>
    </r>
    <r>
      <rPr>
        <rFont val="Poppins"/>
        <b/>
        <color theme="1"/>
        <sz val="12.0"/>
      </rPr>
      <t>List of approved software categories and products</t>
    </r>
    <r>
      <rPr>
        <rFont val="Poppins"/>
        <color theme="1"/>
        <sz val="12.0"/>
      </rPr>
      <t xml:space="preserve">
- Tool configuration guides or usage approvals
- Tool license and deployment architecture</t>
    </r>
  </si>
  <si>
    <t>AUP 
It was noted that the organization maintains a Software Inventory List, which serves as an Index of Authorized Software.
The list includes:
-Software name.
-Description.
-Classification (Critical / High).
-Custodian (IT Support Team).
-Business Owner.
The list covers both hosted cloud services (AWS, Azure, OCI) and endpoint applications (Office, Teams, Zoom, HubSpot).</t>
  </si>
  <si>
    <t>4.8.2</t>
  </si>
  <si>
    <t>Establish and disseminate an [Index of Authorized Software] including software applications, software libraries (e.g. *.dll, *.ocx, *.so) and digitally signed scripts (e.g. *.ps1, *.py, macros).</t>
  </si>
  <si>
    <t>- Validate creation of a centralized Index of Authorized Software that includes specific application binaries, libraries, and scripts.
- Confirm index is accessible to IT/security staff and regularly referenced during software reviews.
- Check the process for adding/removing items and ensuring digital signature validation.</t>
  </si>
  <si>
    <r>
      <rPr>
        <rFont val="Poppins"/>
        <color theme="1"/>
        <sz val="12.0"/>
      </rPr>
      <t>- Index of Authorized Software (export or snapshot)
- Dissemination logs or access records to the index
-</t>
    </r>
    <r>
      <rPr>
        <rFont val="Poppins"/>
        <b/>
        <color theme="1"/>
        <sz val="12.0"/>
      </rPr>
      <t xml:space="preserve"> Change Ticket log showing software additions/removals</t>
    </r>
    <r>
      <rPr>
        <rFont val="Poppins"/>
        <color theme="1"/>
        <sz val="12.0"/>
      </rPr>
      <t xml:space="preserve">
- Signature verification policy or tool output (e.g. certutil, sigcheck)</t>
    </r>
  </si>
  <si>
    <t>It was noted that the organization maintains a Software Inventory List, which serves as an Index of Authorized Software.
The list includes:
-Software name.
-Description.
-Classification (Critical / High).
-Custodian (IT Support Team).
-Business Owner.
The list covers both hosted cloud services (AWS, Azure, OCI) and endpoint applications (Office, Teams, Zoom, HubSpot).</t>
  </si>
  <si>
    <t>4.8.3</t>
  </si>
  <si>
    <t>Review and update the [Index of Authorized Software] on a regular basis.</t>
  </si>
  <si>
    <t>- Check that the index is reviewed at a defined frequency (e.g. quarterly) or during onboarding of new tools.
- Validate that legacy or unapproved software is flagged and removed.
- Confirm review activities are logged and involve relevant stakeholders.</t>
  </si>
  <si>
    <r>
      <rPr>
        <rFont val="Poppins"/>
        <color theme="1"/>
        <sz val="12.0"/>
      </rPr>
      <t xml:space="preserve">- </t>
    </r>
    <r>
      <rPr>
        <rFont val="Poppins"/>
        <b/>
        <color theme="1"/>
        <sz val="12.0"/>
      </rPr>
      <t>Asset Inventory change log (version control or audit trail)</t>
    </r>
    <r>
      <rPr>
        <rFont val="Poppins"/>
        <color theme="1"/>
        <sz val="12.0"/>
      </rPr>
      <t xml:space="preserve">
- Meeting minutes or approval records for updates
- Risk assessments for software removal/addition</t>
    </r>
  </si>
  <si>
    <t>4.8.4</t>
  </si>
  <si>
    <t>Use application whitelisting tools to ensure that only authorized software executes on all information assets and ensure that the application whitelisting technology cannot be disabled or bypassed.</t>
  </si>
  <si>
    <t>- Application whitelisting tool licensing and deployment records
- Whitelist policy configuration and approved application register
- Enforcement logs showing blocked unauthorized software execution attempts
- Whitelist update and review records</t>
  </si>
  <si>
    <t>4.8.5</t>
  </si>
  <si>
    <r>
      <rPr>
        <rFont val="Poppins"/>
        <color theme="1"/>
        <sz val="12.0"/>
      </rPr>
      <t xml:space="preserve">Continuously measure, review and optimize the </t>
    </r>
    <r>
      <rPr>
        <rFont val="Poppins"/>
        <b/>
        <color theme="1"/>
        <sz val="12.0"/>
      </rPr>
      <t>[Requirements for Application Whitelisting]</t>
    </r>
    <r>
      <rPr>
        <rFont val="Poppins"/>
        <color theme="1"/>
        <sz val="12.0"/>
      </rPr>
      <t>.</t>
    </r>
  </si>
  <si>
    <t>- Periodic review records for Requirements for Application Whitelisting
- Updated Application Whitelisting Policy version history
- Review meeting minutes with management sign-off
- Application whitelisting effectiveness reports and exception logs</t>
  </si>
  <si>
    <t>4.9.1</t>
  </si>
  <si>
    <t>Define and document [Requirements for Incident Management] which consider the following:
Incident definition, identification and classification, prioritization, and response
Incident reporting structure
Testing the incident response process
Evidence collection
Learning from information security incidents</t>
  </si>
  <si>
    <t>- Review the documented Requirements for Incident Management to verify inclusion of incident classification criteria, reporting flow, test methodology, and post-incident review.
- Ensure definitions align with organizational risk profile and legal obligations.
- Validate policy includes steps for gathering evidence and applying lessons learned.</t>
  </si>
  <si>
    <t>- Incident Management Requirements document
- Incident taxonomy and severity classification table
- Reporting and escalation structure
- Evidence handling procedure
- Lessons learned template</t>
  </si>
  <si>
    <t>4.9.2</t>
  </si>
  <si>
    <t>Define and implement {Incident Response} process considering:
Incident detection by analyzing reported events [Logging and Monitoring]
Incident classification based on predefined criteria as specified in the requirements
Respond to the cybersecurity incidents (contain, eradicate, and recover) within the organization defined timeframes [Change Management]
Prepare the [Incident Report] and lessons learned
Report cybersecurity incidents with appropriate details to CST</t>
  </si>
  <si>
    <t>- Review the documented and operational Incident Response process (IRP).
- Confirm it includes detection (via logs, alerts), classification, containment, eradication, and recovery timelines.
- Check evidence of coordinated actions with change management for remediation.
- Validate that incident reports and root cause analyses are properly documented and communicated to CST.</t>
  </si>
  <si>
    <t>- IRP document with mapped detection-response lifecycle
- Sample Incident Reports and containment logs
- Integration with logging/monitoring tools (SIEM, IDS)
- Communications sent to CST (emails, reports)
- Change tickets linked to incident remediation</t>
  </si>
  <si>
    <t>4.9.3</t>
  </si>
  <si>
    <t>Conduct regular trainings to test the [Incident Response] process for its effectiveness (e.g. testing communication channels, response times).</t>
  </si>
  <si>
    <t>- Review the schedule and scope of incident response drills (e.g., tabletop exercises, red team simulations).
- Verify if scenarios involve stakeholders from technical, legal, and leadership teams.
- Evaluate whether response time, communication effectiveness, and escalation accuracy are tested and measured.</t>
  </si>
  <si>
    <t>- IRP training calendar and drill plans
- Tabletop exercise reports or red team assessment results
- Attendance logs or participant feedback
- Improvement actions derived from simulation results</t>
  </si>
  <si>
    <t>4.9.4</t>
  </si>
  <si>
    <r>
      <rPr>
        <rFont val="Poppins"/>
        <color theme="1"/>
        <sz val="12.0"/>
      </rPr>
      <t xml:space="preserve">Enhance and implement the </t>
    </r>
    <r>
      <rPr>
        <rFont val="Times New Roman"/>
        <b/>
        <color theme="1"/>
        <sz val="12.0"/>
      </rPr>
      <t>[Requirements for Incident Management]</t>
    </r>
    <r>
      <rPr>
        <rFont val="Times New Roman"/>
        <color theme="1"/>
        <sz val="12.0"/>
      </rPr>
      <t xml:space="preserve"> to use incident management tools to automate the process and integrate with other relevant systems for increasing efficiency.</t>
    </r>
  </si>
  <si>
    <t>- Incident management platform or ticketing system configuration records
- Updated Requirements for Incident Management incorporating automated tooling
- Incident response playbooks linked to incident categories
- Evidence of platform use in recent incident response activities</t>
  </si>
  <si>
    <t>4.9.5</t>
  </si>
  <si>
    <t>Gather threat intelligence and use it during the analysis of the information security events.</t>
  </si>
  <si>
    <t>- Threat intelligence feed subscriptions or platform records
- Evidence of threat intelligence applied during incident analysis
- Incident reports referencing threat intelligence context
- Integration records between threat intelligence and incident management process</t>
  </si>
  <si>
    <t xml:space="preserve">There's  no established thread intelligence platform subscription and therefore there's no integration of threat intel within the organization's processes </t>
  </si>
  <si>
    <t>4.9.6</t>
  </si>
  <si>
    <t>Establish a forensic team to investigate the information security incidents.</t>
  </si>
  <si>
    <t>- Forensic team designation records or engagement letters
- Forensic investigation procedure or SOP
- Forensic tool licensing and readiness evidence
- Training records for forensic team members</t>
  </si>
  <si>
    <t xml:space="preserve">There's  no established digital forensices team and therefore there's no integration digital forensices  within the organization's incident management </t>
  </si>
  <si>
    <t>4.9.7</t>
  </si>
  <si>
    <t>Identify, collect, and preserve the evidences of the information security incidents. Use the knowledge gained from the information security incidents to reduce the probability and impact of future incidents.</t>
  </si>
  <si>
    <t>- Digital evidence collection procedure
- Chain of custody records for evidence collected during incidents
- Evidence preservation and storage documentation
- Evidence integrity verification records (e.g., hash values)</t>
  </si>
  <si>
    <t>4.9.8</t>
  </si>
  <si>
    <r>
      <rPr>
        <rFont val="Poppins"/>
        <color theme="1"/>
        <sz val="12.0"/>
      </rPr>
      <t xml:space="preserve">Continuously measure, review and optimize the </t>
    </r>
    <r>
      <rPr>
        <rFont val="Times New Roman"/>
        <b/>
        <color theme="1"/>
        <sz val="12.0"/>
      </rPr>
      <t>[Requirements for Incident Management]</t>
    </r>
    <r>
      <rPr>
        <rFont val="Times New Roman"/>
        <color theme="1"/>
        <sz val="12.0"/>
      </rPr>
      <t xml:space="preserve"> as well as the effectiveness of the process.</t>
    </r>
  </si>
  <si>
    <t>- Periodic review records for Requirements for Incident Management
- Updated Incident Management Policy version history
- Post-incident review reports with lessons learned
- Incident management KPIs (MTTD, MTTR) and trend analysis</t>
  </si>
  <si>
    <t>4.10.1</t>
  </si>
  <si>
    <t>Malware handling</t>
  </si>
  <si>
    <t>Define and document [Requirements for Malware Handling] which consider the following:
Detection and prevention controls to protect against malware
Implementation of technical controls to safeguard the organization's information assets</t>
  </si>
  <si>
    <t>- Review the documented Requirements for Malware Handling to verify coverage of detection methods (AV, EDR, sandboxing) and prevention mechanisms (blocking, quarantine, isolation).
- Confirm the requirements define safeguards for endpoints, servers, and network devices.
- Validate alignment with overall endpoint security and threat protection strategy.</t>
  </si>
  <si>
    <t xml:space="preserve">- AV/EDR deployment evidence
</t>
  </si>
  <si>
    <t>It was noted that the organization’s Antimalware Policy (ARK-IS-ISO-POL-02) and the provided Anti-Malware Procedures and KPIs provide a very strong and comprehensive definition of Requirements for Malware Handling, covering:
- Detection and Prevention Controls 
Anti-malware required on all endpoints and servers.
• Real-time scanning enabled.
• Automatic signature updates at least every 24h
• Scanning of removable media, file servers, email gateways 
• Scheduled malware scans required
• Detection of IoCs required.
• Telecom nodes / voice systems evaluated separately
• Users required to report malware incidents.
- Technical controls 
• Anti-malware protection cannot be disabled or bypassed.
• Antimalware config must match documented implementation procedure 
• Automated updates cannot be altered to reduce frequency.
• All workstations and servers must run ARKAN-approved Anti-Malware.
• Custodians &amp; Security Team responsibilities clearly defined.
• Security Team trained and responsible for solution use.
• Auditing &amp; compliance checks enforced.
• KPIs defined to monitor effectiveness
- Roles and Responsibilities are clearly defined.</t>
  </si>
  <si>
    <t>4.10.2</t>
  </si>
  <si>
    <t>Use end-point protection software, ensure that this software regularly updates its signature database, and implement measures to prevent this software from being deactivated or altered by users.</t>
  </si>
  <si>
    <t>- Validate deployment of endpoint protection software across all applicable endpoints.
- Confirm signature updates are automated and verified through logs.
- Review endpoint security configuration to ensure tamper protection is enabled.
- Test enforcement of administrative privileges restricting end-user modification.</t>
  </si>
  <si>
    <t>- AV/EDR deployment evidence
- EDR update logs (sample across endpoints)
- Tamper protection settings
- Audit of user privilege restrictions for endpoint security agents</t>
  </si>
  <si>
    <t>4.10.3</t>
  </si>
  <si>
    <t>Implement appropriate security measures to block different sources of malicious traffic (e.g. using internet filters, emails filters to block phishing emails, restricting download of dangerous content) [Email &amp; Web Browser Protection].</t>
  </si>
  <si>
    <t>- Review implementation of internet filtering (DNS filtering, proxy, URL filtering).
- Validate email security controls for phishing protection (SPF, DKIM, DMARC, anti-phishing filters).
- Check browser security policies (e.g. restricting dangerous downloads).
-Confirm correlation with Email &amp; Web Browser Protection policies.</t>
  </si>
  <si>
    <t>- Network Security Policy to verify internet filter configuration and logs
- Firewall Content Filtering Rules
- Email security gateway configuration and phishing reports
- Browser security policy documentation
- Sample blocked/quarantined phishing emails or web content</t>
  </si>
  <si>
    <t>It was noted that:
- The organization’s Email Security Policy (ARK-IS-ISO-POL-13) provides strong coverage for email filtering</t>
  </si>
  <si>
    <t>4.10.4</t>
  </si>
  <si>
    <t xml:space="preserve">Implement protective measures to safeguard removable media against malware (e.g. conduct an anti-malware scan of removable media when inserted or connected).
</t>
  </si>
  <si>
    <t>- Confirm antivirus/endpoint security settings enforce auto-scan on removable media connection.
- Validate logging and alerting of any detected malware on USBs or external drives.
- Review policies regarding usage of removable media (allow/block/restrict).
- Test insertion of controlled test media and verify scan action is triggered.</t>
  </si>
  <si>
    <t>- Endpoint security policy enforcing auto-scan
- Sample removable media scan logs
- Approved removable media usage policy
- Audit logs or events showing action taken on detected malware</t>
  </si>
  <si>
    <t>4.10.5</t>
  </si>
  <si>
    <t>Implement advanced malware detection techniques (e.g. enable Domain Name System (DNS) query logging to detect hostname lookups for known malicious domains).</t>
  </si>
  <si>
    <t>- DNS security or sinkholing configuration records
- Advanced malware detection tool deployment and configuration evidence
- Threat intelligence integration records for advanced detection
- Detection logs showing advanced threat identification events</t>
  </si>
  <si>
    <t>4.10.6</t>
  </si>
  <si>
    <r>
      <rPr>
        <rFont val="Poppins"/>
        <color theme="1"/>
        <sz val="12.0"/>
      </rPr>
      <t xml:space="preserve">Use advanced logging and monitoring tools for analyzing and alerting of detected malware events </t>
    </r>
    <r>
      <rPr>
        <rFont val="Times New Roman"/>
        <b/>
        <color theme="1"/>
        <sz val="12.0"/>
      </rPr>
      <t>[Logging and Monitoring].</t>
    </r>
  </si>
  <si>
    <t>- Advanced logging and monitoring tool configuration for malware detection
- Alert rules and correlation logic for malware event detection
- Malware detection and response logs from monitoring tools
- Integration records between malware detection and SIEM</t>
  </si>
  <si>
    <t>This is done through Defender for Cloud by Microsoft</t>
  </si>
  <si>
    <t>4.10.7</t>
  </si>
  <si>
    <r>
      <rPr>
        <rFont val="Poppins"/>
        <color theme="1"/>
        <sz val="12.0"/>
      </rPr>
      <t xml:space="preserve">Continuously measure, review and optimize the </t>
    </r>
    <r>
      <rPr>
        <rFont val="Times New Roman"/>
        <b/>
        <color theme="1"/>
        <sz val="12.0"/>
      </rPr>
      <t>[Requirements for Malware Handling]</t>
    </r>
    <r>
      <rPr>
        <rFont val="Times New Roman"/>
        <color theme="1"/>
        <sz val="12.0"/>
      </rPr>
      <t>.</t>
    </r>
  </si>
  <si>
    <t>- Periodic review records for Requirements for Malware Handling
- Updated Malware Handling Policy version history
- Review meeting minutes with management sign-off
- Malware incident trend analysis and detection effectiveness reports</t>
  </si>
  <si>
    <t>4.11.1</t>
  </si>
  <si>
    <t>Define and document [Requirements for Information Protection] which consider the following:
Classification level and criteria (e.g. restricted, confidential, public) [Asset Classification]
Privacy, ownership, protection, transmission, and retention of information
Ensuring the privacy of personally identifiable information or other sensitive information in the organization  [Cybersecurity Compliance]</t>
  </si>
  <si>
    <t>- Review the documented Requirements for Information Protection to confirm coverage of classification, privacy requirements, ownership assignment, secure transmission, and retention mandates.
- Validate linkage with existing Asset Classification and Cybersecurity Compliance requirements.
- Confirm review cycle and alignment with legal/regulatory mandates.</t>
  </si>
  <si>
    <t>- Information Protection Requirements document
- Classification matrix or guidelines
- Data retention and transmission policies
- Evidence of alignment with PII/Sensitive Data Protection policies</t>
  </si>
  <si>
    <t>- It was noted that the organization’s:
- Information Security Policy,
- Data Classification Policy,
- Data Retention and Disposal Policy
- Asset Classification &amp; Management Policy
The above dpcuments provide a strong and comprehensive definition of Requirements for Information Protection, covering:
- Classification levels and criteria.
- Ownership, protection, transmission, and retention.</t>
  </si>
  <si>
    <t>4.11.2</t>
  </si>
  <si>
    <t>Define and implement an {Information Classification} process considering:
Categorize information based on the classification criteria specified in the requirements
Handle critical information according to the defined criteria (e.g. business value, legal, technical, national and cross-border requirements)</t>
  </si>
  <si>
    <t>- Review the documented Information Classification process.
- Verify that information is categorized per business/legal/technical criteria.
- Confirm sample classified documents/assets are correctly labeled and handled.
- Validate controls are in place to enforce classification-based handling rules.</t>
  </si>
  <si>
    <t>- Data Handling policy
- Sample classified documents/assets
- Evidence of classification labels applied</t>
  </si>
  <si>
    <t>4.11.3</t>
  </si>
  <si>
    <t>Implement security mechanisms to protect information (in transit, at rest, in use) taking into account the [Requirements for Cryptography] and data loss prevention techniques.</t>
  </si>
  <si>
    <t>- Review encryption requirements and implementation for data in transit, at rest, and in use.
- Verify application of DLP controls across endpoints, cloud, and network layers.
- Confirm that selected cryptographic mechanisms comply with approved standards.</t>
  </si>
  <si>
    <t>- Encryption policy and key management Policy
- DLP solution configuration and logs
- Network encryption (TLS/SSL), disk encryption, file encryption evidence
- Exception handling records for any unencrypted flows</t>
  </si>
  <si>
    <t>4.11.4</t>
  </si>
  <si>
    <t>Prevent the transmission of information from production environment to another environment and the usage of critical systems data in test and development environments.</t>
  </si>
  <si>
    <t>- Verify policies and technical controls preventing production data use in test/dev environments.
- Review masking, tokenization, or synthetic data generation solutions in place.
-Validate access controls to prevent data export from production systems to non-production environments.</t>
  </si>
  <si>
    <r>
      <rPr>
        <rFont val="Poppins"/>
        <color theme="1"/>
        <sz val="12.0"/>
      </rPr>
      <t xml:space="preserve">- Data masking/tokenization policy
'- Configuration of </t>
    </r>
    <r>
      <rPr>
        <rFont val="Poppins"/>
        <b/>
        <color theme="1"/>
        <sz val="12.0"/>
      </rPr>
      <t>test/dev environments</t>
    </r>
    <r>
      <rPr>
        <rFont val="Poppins"/>
        <color theme="1"/>
        <sz val="12.0"/>
      </rPr>
      <t xml:space="preserve"> showing non-production data usage
- Audit reports confirming no unauthorized transmission from production
- Logs of data export processes (blocked or approved flows)</t>
    </r>
  </si>
  <si>
    <t>There're no software development  offered or established by the organization</t>
  </si>
  <si>
    <t>4.11.5</t>
  </si>
  <si>
    <r>
      <rPr>
        <rFont val="Poppins"/>
        <color theme="1"/>
        <sz val="12.0"/>
      </rPr>
      <t xml:space="preserve">Determine a retention period for information in accordance with organizational requirements and relevant legislations. Restrict the retention of critical information to the necessary requirements.  </t>
    </r>
    <r>
      <rPr>
        <rFont val="Times New Roman"/>
        <b/>
        <color theme="1"/>
        <sz val="12.0"/>
      </rPr>
      <t>[Cybersecurity Compliance]</t>
    </r>
  </si>
  <si>
    <t>- Data Retention Schedule or Matrix defining retention periods per data type
- Retention policy aligned to organizational and regulatory requirements
- Evidence of retention period enforcement (e.g., archival or deletion logs)
- Legal or compliance team sign-off on retention periods</t>
  </si>
  <si>
    <t>4.11.6</t>
  </si>
  <si>
    <r>
      <rPr>
        <rFont val="Poppins"/>
        <color theme="1"/>
        <sz val="12.0"/>
      </rPr>
      <t xml:space="preserve">Continuously measure, review and optimize the </t>
    </r>
    <r>
      <rPr>
        <rFont val="Times New Roman"/>
        <b/>
        <color theme="1"/>
        <sz val="12.0"/>
      </rPr>
      <t>[Requirements for Information Protection]</t>
    </r>
    <r>
      <rPr>
        <rFont val="Times New Roman"/>
        <color theme="1"/>
        <sz val="12.0"/>
      </rPr>
      <t xml:space="preserve"> as well as the effectiveness of the process.</t>
    </r>
  </si>
  <si>
    <t>- Periodic review records for Requirements for Information Protection
- Updated Information Protection Policy version history
- Review meeting minutes with management approval
- Data protection effectiveness assessments or DLP reports</t>
  </si>
  <si>
    <t>4.12.1</t>
  </si>
  <si>
    <t xml:space="preserve">Define and document [Requirements for Backup and Recovery Management] which consider the following:
Scope of online and offline backups including the retention period
Rapid recovery of information after cybersecurity incidents
Periodically backup of information assets
Protection of backups
Availability of backups
</t>
  </si>
  <si>
    <t>- Review the documented Requirements for Backup and Recovery Management and verify that it addresses both online and offline backups, required retention periods, RTO (Recovery Time Objective), and periodic backup frequency.
- Validate that backup protection (encryption, restricted access) and availability requirements are clearly defined.</t>
  </si>
  <si>
    <t xml:space="preserve">- Backup and Recovery Management Requirements document
- Retention schedule and backup calendar
- Protection controls (encryption settings, ACLs) for backups
- Business continuity and DRP alignment evidence
</t>
  </si>
  <si>
    <t>- It was noted that the organization has a Backup Policy (ARK-IS-ISO-POL-04) and detailed Backup Procedures which provide a comprehensive definition of Requirements for Backup and Recovery Management</t>
  </si>
  <si>
    <t>4.12.2</t>
  </si>
  <si>
    <t>Define and implement a {Backup} process considering the following:
Business requirements (e.g. Recovery Point Objective)
Scope of online and offline backups and their coverage of information assets (e.g. backup of complete system, through processes such as imaging)</t>
  </si>
  <si>
    <t>- Review the documented Backup process for alignment with Recovery Point Objectives and business criticality.
- Confirm that backup scope covers all required assets, including system images where applicable.
- Validate operational effectiveness through sample backup jobs and logs.</t>
  </si>
  <si>
    <t>- Backup process document
- Backup job configurations and scope mapping
- Logs of successful and failed backup jobs
- Backup verification/test restore results</t>
  </si>
  <si>
    <t>4.12.3</t>
  </si>
  <si>
    <t>Define and implement a {Recovery} process to ensure that information assets are recovered within an acceptable timeframe based on their criticality  [Asset Classification].</t>
  </si>
  <si>
    <t>- Review the documented Recovery process for RTO alignment to asset criticality.
- Verify test restores are conducted within the specified RTOs.
- Check tracking of recovery performance metrics and lessons learned from past recovery exercises.</t>
  </si>
  <si>
    <t>- Recovery process documentation
- RTO mapping against Asset Classification
- Test recovery reports with timing metrics
- Incident reports or exercises demonstrating recovery capability</t>
  </si>
  <si>
    <t>PERTAINING TO SET RTO/RPO/MTD THRESHOLDS</t>
  </si>
  <si>
    <t>4.12.4</t>
  </si>
  <si>
    <t>Ensure the confidentiality, integrity, and availability of backups in adverse situations (e.g. using encryption, protection of backups via physical security  [Protection of Physical Information Assets]).</t>
  </si>
  <si>
    <t>- Validate encryption settings for backup media in storage and transit.
- Confirm physical security controls for backup media (offsite vaults, datacenter physical security).
- Review procedures for backup transport, handling, and storage</t>
  </si>
  <si>
    <t>- Encryption configuration of backup software
- Backup storage location physical security audit reports
- Offsite backup transport procedures
- Logs or audit evidence of backup access and chain of custody</t>
  </si>
  <si>
    <t>4.12.5</t>
  </si>
  <si>
    <t xml:space="preserve">Establish an alternate storage/backup site that provides security measures equivalent to the primary site. </t>
  </si>
  <si>
    <t>- Alternate/offsite backup site designation and security configuration records
- Security equivalency assessment between primary and alternate site
- Backup replication logs confirming data transfer to alternate site
- Site security inspection records for the alternate storage location</t>
  </si>
  <si>
    <t>4.12.6</t>
  </si>
  <si>
    <r>
      <rPr>
        <rFont val="Poppins"/>
        <color theme="1"/>
        <sz val="12.0"/>
      </rPr>
      <t xml:space="preserve">Continuously test and review the </t>
    </r>
    <r>
      <rPr>
        <rFont val="Times New Roman"/>
        <b/>
        <color theme="1"/>
        <sz val="12.0"/>
      </rPr>
      <t xml:space="preserve">{Backup} </t>
    </r>
    <r>
      <rPr>
        <rFont val="Times New Roman"/>
        <color theme="1"/>
        <sz val="12.0"/>
      </rPr>
      <t>and</t>
    </r>
    <r>
      <rPr>
        <rFont val="Times New Roman"/>
        <b/>
        <color theme="1"/>
        <sz val="12.0"/>
      </rPr>
      <t xml:space="preserve"> </t>
    </r>
    <r>
      <rPr>
        <rFont val="Times New Roman"/>
        <color theme="1"/>
        <sz val="12.0"/>
      </rPr>
      <t>the</t>
    </r>
    <r>
      <rPr>
        <rFont val="Times New Roman"/>
        <b/>
        <color theme="1"/>
        <sz val="12.0"/>
      </rPr>
      <t xml:space="preserve"> {Recovery}</t>
    </r>
    <r>
      <rPr>
        <rFont val="Times New Roman"/>
        <color theme="1"/>
        <sz val="12.0"/>
      </rPr>
      <t xml:space="preserve"> processes to check their effectiveness.</t>
    </r>
  </si>
  <si>
    <t>- Backup and Recovery test records with test results and outcomes
- Recovery test schedule and frequency documentation
- Test failure and remediation records
- Recovery time and recovery point objective (RTO/RPO) test evidence</t>
  </si>
  <si>
    <t>It is noted that Backup Recovery testing process is functional</t>
  </si>
  <si>
    <t>4.12.7</t>
  </si>
  <si>
    <r>
      <rPr>
        <rFont val="Poppins"/>
        <color theme="1"/>
        <sz val="12.0"/>
      </rPr>
      <t xml:space="preserve">Enhance and implement the </t>
    </r>
    <r>
      <rPr>
        <rFont val="Times New Roman"/>
        <b/>
        <color theme="1"/>
        <sz val="12.0"/>
      </rPr>
      <t>[Requirements for Backup and Recovery Management]</t>
    </r>
    <r>
      <rPr>
        <rFont val="Times New Roman"/>
        <color theme="1"/>
        <sz val="12.0"/>
      </rPr>
      <t xml:space="preserve"> to use tools to automate the </t>
    </r>
    <r>
      <rPr>
        <rFont val="Times New Roman"/>
        <b/>
        <color theme="1"/>
        <sz val="12.0"/>
      </rPr>
      <t>{Backup}</t>
    </r>
    <r>
      <rPr>
        <rFont val="Times New Roman"/>
        <color theme="1"/>
        <sz val="12.0"/>
      </rPr>
      <t xml:space="preserve"> and the </t>
    </r>
    <r>
      <rPr>
        <rFont val="Times New Roman"/>
        <b/>
        <color theme="1"/>
        <sz val="12.0"/>
      </rPr>
      <t>{Recovery}</t>
    </r>
    <r>
      <rPr>
        <rFont val="Times New Roman"/>
        <color theme="1"/>
        <sz val="12.0"/>
      </rPr>
      <t xml:space="preserve"> processes.</t>
    </r>
  </si>
  <si>
    <t>- Updated Requirements for Backup and Recovery incorporating immutable backup requirements
- Immutable or ransomware-resistant backup configuration records
- Backup solution enhancement records and implementation evidence
- Enhanced backup policy or procedure version history</t>
  </si>
  <si>
    <t xml:space="preserve">backup is automated and scheduled on both disks and nodes </t>
  </si>
  <si>
    <t>4.12.8</t>
  </si>
  <si>
    <r>
      <rPr>
        <rFont val="Poppins"/>
        <color theme="1"/>
        <sz val="12.0"/>
      </rPr>
      <t xml:space="preserve">Continuously measure, review and optimize the </t>
    </r>
    <r>
      <rPr>
        <rFont val="Times New Roman"/>
        <b/>
        <color theme="1"/>
        <sz val="12.0"/>
      </rPr>
      <t xml:space="preserve">[Requirements for Backup and Recovery Management] </t>
    </r>
    <r>
      <rPr>
        <rFont val="Times New Roman"/>
        <color theme="1"/>
        <sz val="12.0"/>
      </rPr>
      <t>as well as the effectiveness of the processes.</t>
    </r>
  </si>
  <si>
    <t>- Periodic review records for Requirements for Backup and Recovery Management
- Updated Backup and Recovery Policy version history
- Review meeting minutes with management sign-off
- Backup success rate metrics and recovery test trend reports</t>
  </si>
  <si>
    <t>4.12.9</t>
  </si>
  <si>
    <t>Define and document [Requirements for Configuration Management and Hardening] which consider the following:
Secure images and baseline configurations for the information assets and used software/hardware</t>
  </si>
  <si>
    <t>- Review the documented Requirements for Configuration Management and Hardening for coverage of secure image management and baseline configuration expectations.
- Validate that standards are defined for all types of assets (OS, network devices, applications).
- Confirm version control and approval process for baseline images/configurations.</t>
  </si>
  <si>
    <r>
      <rPr>
        <rFont val="Poppins"/>
        <color theme="1"/>
        <sz val="12.0"/>
      </rPr>
      <t xml:space="preserve">- Configuration Management and Hardening Requirements document
</t>
    </r>
    <r>
      <rPr>
        <rFont val="Poppins"/>
        <b/>
        <color theme="1"/>
        <sz val="12.0"/>
      </rPr>
      <t xml:space="preserve">- Secure image repository listing
- Baseline configuration templates for systems/devices
</t>
    </r>
    <r>
      <rPr>
        <rFont val="Poppins"/>
        <color theme="1"/>
        <sz val="12.0"/>
      </rPr>
      <t>- Version control and approval records</t>
    </r>
  </si>
  <si>
    <t>- It was noted that the organization’s Vulnerability, Patch &amp; Hardening Policy (ARK-IS-ISO-POL-11) and Information Security Policy (ARK-IS-ISO-POL-00) provide a strong definition of Requirements for Configuration Management and Hardening, covering:
- Use of industry standards - CIS, DISA.
- Requirement to define and maintain secure images and baseline configurations.
- Requirement to implement hardening guidelines.
- Requirement to perform monitoring and verification of configuration compliance</t>
  </si>
  <si>
    <t>4.13.2</t>
  </si>
  <si>
    <t>Implement the defined baseline configuration settings for the information assets.</t>
  </si>
  <si>
    <t>- Verify that baseline configurations are implemented across applicable information assets (servers, endpoints, network devices, cloud systems).
- Review deployment records and validation checks post-implementation.
- Validate consistency across similar asset classes and environments.</t>
  </si>
  <si>
    <t xml:space="preserve">- Implementation logs or deployment reports
- Configuration management tool outputs (Ansible, SCCM, Chef, Puppet, etc.)
- Configuration validation/audit reports
- Exceptions or deviation handling records
</t>
  </si>
  <si>
    <t>It was noted that this managed and reviewed with a CIS Benchmark foundation and inforced through cloud native tools for cloud workloads and through intune for end devices</t>
  </si>
  <si>
    <t>4.13.3</t>
  </si>
  <si>
    <t>Employ system and device hardening according to industry-recognized best practices (e.g. disable the default configurations which have been installed on the network devices).</t>
  </si>
  <si>
    <t>- Review system/device hardening guides referenced by the organization (e.g. CIS Benchmarks, NIST).
- Confirm that hardening procedures address disabling insecure default configurations (default passwords, unused services, default SNMP communities, etc.).
- Test compliance on a sample of network devices and critical servers</t>
  </si>
  <si>
    <t>- System/Device hardening standards (e.g. CIS Benchmarks)
- Hardening implementation checklists per device type
- Evidence of disabled default configurations
- Configuration audit or VAPT reports validating hardening</t>
  </si>
  <si>
    <t>4.13.4</t>
  </si>
  <si>
    <t>Restrict the use of unnecessary functions (e.g. use of unauthorized ports, services) and configure the information assets to provide only essential capabilities</t>
  </si>
  <si>
    <t>- Review configurations to validate unnecessary services and ports are disabled.
- Conduct port/service scanning on representative systems.
- Verify that only business-required functions are enabled on critical assets.</t>
  </si>
  <si>
    <t>- Port/service whitelist per asset class
- Configuration evidence (firewall settings, service disablement)
- Results of network/host-based scanning (e.g. Nmap, Nessus)
- Change management records for enabling new services</t>
  </si>
  <si>
    <t>4.13.5</t>
  </si>
  <si>
    <t>Monitor and verify configuration settings against the baseline settings</t>
  </si>
  <si>
    <t>- Validate the use of configuration monitoring or drift detection tools.
- Review monitoring results or reports highlighting deviations from baseline.
- Confirm periodic audits of configuration compliance.
- Verify remediation process for detected deviations</t>
  </si>
  <si>
    <t>- Monitoring tool dashboards/screenshots (e.g. Tripwire, Tenable, Qualys)
- Audit reports comparing actual config vs. baseline
- Incident tickets or logs of config deviations and remediation actions</t>
  </si>
  <si>
    <t>4.13.6</t>
  </si>
  <si>
    <t>Utilize a dedicated tool to monitor and verify configuration settings and alert upon unauthorized deviation from baseline configuration settings.</t>
  </si>
  <si>
    <t>- Configuration monitoring tool deployment and configuration records
- Automated configuration drift alerts and alert response logs
- Configuration baseline compliance dashboard screenshots
- Integration records between monitoring tool and ITSM for configuration alerts</t>
  </si>
  <si>
    <t>4.13.7</t>
  </si>
  <si>
    <r>
      <rPr>
        <rFont val="Poppins"/>
        <color theme="1"/>
        <sz val="12.0"/>
      </rPr>
      <t xml:space="preserve">Use dedicated tools that can automatically configure/reconfigure configuration settings </t>
    </r>
    <r>
      <rPr>
        <rFont val="Times New Roman"/>
        <b/>
        <color theme="1"/>
        <sz val="12.0"/>
      </rPr>
      <t>[Change Management</t>
    </r>
    <r>
      <rPr>
        <rFont val="Times New Roman"/>
        <color theme="1"/>
        <sz val="12.0"/>
      </rPr>
      <t xml:space="preserve">] on all the information assets. </t>
    </r>
  </si>
  <si>
    <t>- Automated configuration management tool (e.g., Ansible, SCCM) deployment records
- Auto-remediation configuration and policy records
- Evidence of automated configuration enforcement across asset scope
- Automation coverage report showing assets under automated configuration management</t>
  </si>
  <si>
    <t>4.13.8</t>
  </si>
  <si>
    <r>
      <rPr>
        <rFont val="Poppins"/>
        <color theme="1"/>
        <sz val="12.0"/>
      </rPr>
      <t xml:space="preserve">Continuously measure, review and optimize the </t>
    </r>
    <r>
      <rPr>
        <rFont val="Times New Roman"/>
        <b/>
        <color theme="1"/>
        <sz val="12.0"/>
      </rPr>
      <t>[Requirements for Configuration Management and Hardening].</t>
    </r>
    <r>
      <rPr>
        <rFont val="Times New Roman"/>
        <color theme="1"/>
        <sz val="12.0"/>
      </rPr>
      <t xml:space="preserve"> </t>
    </r>
  </si>
  <si>
    <t>- Periodic review records for Requirements for Configuration Management and Handling
- Updated Configuration Management Policy version history
- Review meeting minutes with management approval
- Configuration compliance metrics and drift trend reports</t>
  </si>
  <si>
    <t>4.14.1</t>
  </si>
  <si>
    <t>Define and document [Requirements for Secure Software Development] which consider the following:
Utilization of secure coding standards and practices (e.g. approved libraries, APIs)
Segregation and allocation of access rights to different environments
Conducting tests to verify the compliance of the developed software with the organization’s cybersecurity requirements</t>
  </si>
  <si>
    <t>- Review the documented Requirements for Secure Software Development for coverage of secure coding practices, environment segregation, and testing requirements.
- Validate that approved libraries and APIs are used per standards.
- Confirm that testing (e.g. SAST, DAST, penetration testing) is required and executed before release.</t>
  </si>
  <si>
    <t>- SDLC Policy Document
- Secure coding guidelines / approved libraries list
- Test reports (SAST, DAST, pentest) for recent releases
- Segregation of environment policy (dev/test/prod)</t>
  </si>
  <si>
    <t xml:space="preserve">There's no software inhouse or software development practices incorporated in the organization's business process </t>
  </si>
  <si>
    <t>4.14.2</t>
  </si>
  <si>
    <t>Ensure that only authorized personnel have access to the appropriate environment  [Identity and Access Management]</t>
  </si>
  <si>
    <t>- Validate that environment access is restricted per Identity and Access Management policy.
- Review access control lists (ACLs) and permissions for dev/test/staging/prod environments.
- Check change logs and access reviews for environment access.</t>
  </si>
  <si>
    <t>- Environment-specific ACLs
- User access review reports for environments
- IAM policy referencing environment access
- Logs of access changes (granted/revoked)</t>
  </si>
  <si>
    <t>4.14.3</t>
  </si>
  <si>
    <t>Utilize secure coding standards and practices (e.g. security-by-design principles supported via static or dynamic analysis tools) and ensure the security of integration between the applications.</t>
  </si>
  <si>
    <t>- Review secure coding standards adopted (e.g. OWASP, SANS).
- Verify usage of SAST/DAST tools across development lifecycle.
- Confirm that secure integration requirements are documented and tested</t>
  </si>
  <si>
    <t>- Secure coding standards document
- Static/Dynamic analysis reports (SAST/DAST)
- Secure integration testing procedures and results
- Code review checklists/templates used by developers</t>
  </si>
  <si>
    <t>4.14.4</t>
  </si>
  <si>
    <t>Ensure a secure and reliable transmission of the software between the environments.</t>
  </si>
  <si>
    <t>- Verify that transmission of builds between environments (Dev to Test to Prod) is done over secure channels (e.g. TLS, signed packages).
- Check for controls that prevent tampering during transit (e.g. checksum verification, digital signatures).
- Review process for release management and validation at each environment boundary.</t>
  </si>
  <si>
    <t xml:space="preserve">- Secure transmission process documentation
- Change/release management records showing validation
- Transmission audit logs (TLS, checksum results)
- Build artifacts with signature verification evidence
</t>
  </si>
  <si>
    <t>4.14.5</t>
  </si>
  <si>
    <t>Use only trusted and up-to-date third-party components for internally developed software</t>
  </si>
  <si>
    <t>- Validate that third-party component selection and approval process exists.
- Review dependency management tools and processes for ensuring up-to-date libraries.
- Confirm that known vulnerable components (from SCA tools) are remediated prior to release</t>
  </si>
  <si>
    <t>- Third-party component approval list
- Software Composition Analysis (SCA) reports
- Dependency update/change logs
- Risk assessment records for third-party components</t>
  </si>
  <si>
    <t>4.14.6</t>
  </si>
  <si>
    <t xml:space="preserve">Conduct and document a security review for developed software and source code (e.g. performing error checking for all input). </t>
  </si>
  <si>
    <t>- Code review records and security review findings documentation
- Secure code review checklist and completed review records
- Source code review tool output reports (e.g., SAST results)
- Security review sign-off records for developed software</t>
  </si>
  <si>
    <t>4.14.7</t>
  </si>
  <si>
    <t>Conduct security tests to verify the extent to which the developed software meets the organization's cybersecurity requirements.</t>
  </si>
  <si>
    <t>- Security test plans and test results for developed software
- Dynamic application security testing (DAST) or SAST tool reports
- Test evidence confirming software meets defined security requirements
- Security test acceptance criteria and sign-off records</t>
  </si>
  <si>
    <t>4.14.8</t>
  </si>
  <si>
    <r>
      <rPr>
        <rFont val="Poppins"/>
        <color theme="1"/>
        <sz val="12.0"/>
      </rPr>
      <t xml:space="preserve">Continuously measure, review and optimize the </t>
    </r>
    <r>
      <rPr>
        <rFont val="Times New Roman"/>
        <b/>
        <color theme="1"/>
        <sz val="12.0"/>
      </rPr>
      <t>[Requirements for Secure Software Development]</t>
    </r>
    <r>
      <rPr>
        <rFont val="Times New Roman"/>
        <color theme="1"/>
        <sz val="12.0"/>
      </rPr>
      <t>.</t>
    </r>
  </si>
  <si>
    <t>- Periodic review records for Requirements for Secure Software Development
- Updated Secure Software Development Policy version history
- Review meeting minutes with management approval
- Security defect trend reports and SDLC improvement actions</t>
  </si>
  <si>
    <t>4.15.1</t>
  </si>
  <si>
    <t>Email &amp; Web Browser Protection</t>
  </si>
  <si>
    <t>Define and document [Requirements for Emails and Web Browser Protection] which consider the following:
Utilization of standardized security mechanisms for email and web browser protection</t>
  </si>
  <si>
    <t>- Review the documented Requirements for Emails and Web Browser Protection.
- Verify inclusion of standardized mechanisms such as anti-spam, anti-phishing, malware protection, browser security configurations, and usage restrictions.
- Confirm alignment with industry standards (e.g. NIST, CIS benchmarks)</t>
  </si>
  <si>
    <t>- Emails &amp; Web Browser Protection Requirements document
- Reference to standards used (NIST, CIS, vendor best practices)
- Approved browser configuration guide
- Email security policy</t>
  </si>
  <si>
    <t xml:space="preserve">- It was noted that the organization’s Email Security Policy (ARK-IS-ISO-POL-13) provides a strong definition of Requirements for Email Protection, covering:
- Malware protection.
- Email backup and archiving.
- Secure transmission (TLS).
Browser Security controls are inferred from other policies and there's  no dedicated Browser Security Policy  </t>
  </si>
  <si>
    <t>- It was noted that no Requirements for Web Browser Protection were documented although multiple evidence of Browser security controls were presented \</t>
  </si>
  <si>
    <t>- Update ARK-IS-ISO-POL-13 to explicitly document anti-spoofing controls such as SPF, DKIM, DMARC (only an added suggestion)
- Create and approve Web Security Policy / Endpoint Protection Policy to include:
    - Web filtering required and categories to block
    - DNS filtering (if used)
    - Browser configuration hardening:
        - Disable insecure plugins/extensions
        - Block automatic downloads of dangerous content
        - Enforce safe browsing</t>
  </si>
  <si>
    <t>4.15.2</t>
  </si>
  <si>
    <t>Implement the [Requirements for Emails and Web Browser Protection] (e.g. email filtering for spam and phishing protection, multi-factor authentication, backup and archive for emails, protection against Advanced Persistent Threats, untrusted websites).</t>
  </si>
  <si>
    <t>- Verify that email filtering mechanisms (gateway filters, DMARC, DKIM, SPF) are implemented and active.
- Check multi-factor authentication settings for email access.
- Confirm that email backup and archive processes are in place and tested.
- Validate browser configuration to block untrusted websites and implement URL filtering.
- Review APT protection settings (sandboxing, threat intelligence feeds).</t>
  </si>
  <si>
    <t>- Email gateway/filter configuration screenshots and logs
- MFA enforcement reports for email access
- Email backup and archive test results
- Browser security policy and enforcement settings
- APT protection tool configurations and reports</t>
  </si>
  <si>
    <t>4.15.3</t>
  </si>
  <si>
    <t>Restrict the access to unauthorized web-based email services (e.g. firewall rules, network based URL filters).</t>
  </si>
  <si>
    <t>- Review firewall rules and URL filtering configurations to ensure access to unauthorized webmail services (e.g. Gmail, Yahoo, Outlook.com) is blocked as per policy.
- Validate enforcement through testing (attempts to access blocked services).
- Check periodic review of the URL blocklist to ensure effectiveness.</t>
  </si>
  <si>
    <t>- Firewall or proxy URL filtering policy
- List of blocked webmail domains
-URL filtering test results (blocked attempts)
- Logs from firewall or secure web gateway showing enforcement</t>
  </si>
  <si>
    <t>4.15.4</t>
  </si>
  <si>
    <r>
      <rPr>
        <rFont val="Poppins"/>
        <color theme="1"/>
        <sz val="12.0"/>
      </rPr>
      <t xml:space="preserve">Continuously measure, review and optimize the </t>
    </r>
    <r>
      <rPr>
        <rFont val="Times New Roman"/>
        <b/>
        <color theme="1"/>
        <sz val="12.0"/>
      </rPr>
      <t>[Requirements for Emails and Web Browser Protection]</t>
    </r>
    <r>
      <rPr>
        <rFont val="Times New Roman"/>
        <color theme="1"/>
        <sz val="12.0"/>
      </rPr>
      <t>.</t>
    </r>
  </si>
  <si>
    <t>- Periodic review records for Requirements for Email and Web Browser Protection
- Updated Email and Web Security Policy version history
- Review meeting minutes with management sign-off
- Email and web protection effectiveness reports (e.g., spam/phishing block rates)</t>
  </si>
  <si>
    <t>4.16.1</t>
  </si>
  <si>
    <t>Define and document [Requirements for Penetration Testing] which consider the following:
·      Purpose of the penetration tests and overall objectives
·      Defining the frequency of the penetration tests</t>
  </si>
  <si>
    <t>- Requirements for Penetration Testing document
- Penetration testing scope, methodology, and frequency definitions
- Management approval records for penetration testing requirements
- Regulatory mapping confirming alignment to CST CRF requirements</t>
  </si>
  <si>
    <t xml:space="preserve">It was noted that the organization has no software house and therefore VAPT falls under the responsibility of their vendors and cloud providers. </t>
  </si>
  <si>
    <t>4.16.2</t>
  </si>
  <si>
    <r>
      <rPr>
        <rFont val="Poppins"/>
        <color theme="1"/>
        <sz val="12.0"/>
      </rPr>
      <t xml:space="preserve">Define a </t>
    </r>
    <r>
      <rPr>
        <rFont val="Times New Roman"/>
        <b/>
        <color theme="1"/>
        <sz val="12.0"/>
      </rPr>
      <t>{Penetration Testing}</t>
    </r>
    <r>
      <rPr>
        <rFont val="Times New Roman"/>
        <color theme="1"/>
        <sz val="12.0"/>
      </rPr>
      <t xml:space="preserve"> process consisting of the scope and frequency (e.g. at least once quarterly on the critical information assets) of the penetration tests using standard methodologies to identify unknown vulnerabilities (e.g. grey box testing, white box testing).</t>
    </r>
  </si>
  <si>
    <t>- Penetration Testing Process document defining scope, frequency, and methodology
- Penetration testing scope agreement or rules of engagement document
- Engagement letter or contract with penetration testing provider
- Approved penetration testing schedule</t>
  </si>
  <si>
    <t>4.16.3</t>
  </si>
  <si>
    <r>
      <rPr>
        <rFont val="Poppins"/>
        <color theme="1"/>
        <sz val="12.0"/>
      </rPr>
      <t xml:space="preserve">Depending on the penetration test methodology used, use the </t>
    </r>
    <r>
      <rPr>
        <rFont val="Times New Roman"/>
        <b/>
        <color theme="1"/>
        <sz val="12.0"/>
      </rPr>
      <t>[Vulnerabilities Report]</t>
    </r>
    <r>
      <rPr>
        <rFont val="Times New Roman"/>
        <color theme="1"/>
        <sz val="12.0"/>
      </rPr>
      <t xml:space="preserve"> as an input to guide the penetration tests.</t>
    </r>
  </si>
  <si>
    <t>- Vulnerabilities Register or Report used as input to penetration test scoping
- Penetration test methodology document referencing vulnerability inputs
- Mapping of known vulnerabilities to penetration test scenarios
- Penetration test scope documentation referencing vulnerability report</t>
  </si>
  <si>
    <t>4.16.4</t>
  </si>
  <si>
    <r>
      <rPr>
        <rFont val="Poppins"/>
        <color theme="1"/>
        <sz val="12.0"/>
      </rPr>
      <t xml:space="preserve">Report the </t>
    </r>
    <r>
      <rPr>
        <rFont val="Times New Roman"/>
        <b/>
        <color theme="1"/>
        <sz val="12.0"/>
      </rPr>
      <t xml:space="preserve">[Penetration Test Report] </t>
    </r>
    <r>
      <rPr>
        <rFont val="Times New Roman"/>
        <color theme="1"/>
        <sz val="12.0"/>
      </rPr>
      <t xml:space="preserve">to the respective departments to trigger remediation actions when applicable </t>
    </r>
    <r>
      <rPr>
        <rFont val="Times New Roman"/>
        <b/>
        <color theme="1"/>
        <sz val="12.0"/>
      </rPr>
      <t>[Patch Management]</t>
    </r>
    <r>
      <rPr>
        <rFont val="Times New Roman"/>
        <color theme="1"/>
        <sz val="12.0"/>
      </rPr>
      <t>.</t>
    </r>
  </si>
  <si>
    <t>- Penetration Test Report shared with relevant departments
- Distribution records confirming delivery to IT, Security, and management
- Remediation tracking log initiated from penetration test findings
- Management acknowledgment or briefing record on penetration test outcomes</t>
  </si>
  <si>
    <t>4.16.5</t>
  </si>
  <si>
    <r>
      <rPr>
        <rFont val="Poppins"/>
        <color theme="1"/>
        <sz val="12.0"/>
      </rPr>
      <t xml:space="preserve">Continuously measure, review and optimize the </t>
    </r>
    <r>
      <rPr>
        <rFont val="Times New Roman"/>
        <b/>
        <color theme="1"/>
        <sz val="12.0"/>
      </rPr>
      <t xml:space="preserve">[Requirements for Penetration Testing] </t>
    </r>
    <r>
      <rPr>
        <rFont val="Times New Roman"/>
        <color theme="1"/>
        <sz val="12.0"/>
      </rPr>
      <t>as well as the effectiveness of the process.</t>
    </r>
  </si>
  <si>
    <t>- Periodic review records for Requirements for Penetration Testing
- Updated Penetration Testing Policy version history
- Review meeting minutes assessing penetration testing program effectiveness
- Trend analysis of penetration test findings over successive engagements</t>
  </si>
  <si>
    <t>Objective 5.1 Protect information assets against physical damage and threats.
Objective 5.2 Manage physical access to the facilities that host the information assets to prevent unauthorized access.</t>
  </si>
  <si>
    <t>5.1.1</t>
  </si>
  <si>
    <t>Define and document [Requirements for the Protection of Physical Information Assets] which consider the following:
Protecting physical facilities that host information assets
Protecting physical information assets and physical facilities installed on offsite premises
Delivery and loading areas
Transportation of physical information assets
Defining physical protection measures against environmental threats</t>
  </si>
  <si>
    <t>- Review the documented Requirements for Protection of Physical Information Assets.
- Confirm the inclusion of protection measures for all required scenarios (onsite, offsite, delivery areas, transport, environmental threats).
- Validate the existence of policies covering all asset types (servers, storage, media, network equipment, paper documents).</t>
  </si>
  <si>
    <t>- Protection of Physical Information Assets Requirements document
- Site protection policy for HQ and branch sites
- Offsite storage contract or policy
- Environmental threat risk assessment and mitigation plan</t>
  </si>
  <si>
    <t xml:space="preserve">The organization has formally documented physical information asset protection requirements within the Physical Security Procedures (ARK-IS-ISO-PRO-07, Ver 2.0), covering premises protection, workspace security, asset movement, delivery controls, CCTV monitoring, and SaaS supplier assurance for offsite environments. Environmental threat protection, secure storage during non-operational hours, and transportation controls are addressed across Sections 6.5 through 6.10. </t>
  </si>
  <si>
    <t>5.1.2</t>
  </si>
  <si>
    <t>Define security perimeters in order to protect physical facilities (e.g. offices, rooms, data centers, ground stations, and telecommunication processing equipment) that contain information assets.</t>
  </si>
  <si>
    <t>- Verify physical security zoning and perimeter definitions for all relevant facilities.
- Review drawings/layouts or physical security design documents.
- Validate the effectiveness of perimeter controls through site visit observations or security audit reports</t>
  </si>
  <si>
    <r>
      <rPr>
        <rFont val="Poppins"/>
        <color theme="1"/>
        <sz val="12.0"/>
      </rPr>
      <t xml:space="preserve">- Security zoning map or floor plan
- Physical security design documents
- Access control implementation evidence per zone
- Security audit reports for perimeter effectiveness
- </t>
    </r>
    <r>
      <rPr>
        <rFont val="Poppins"/>
        <b/>
        <color theme="1"/>
        <sz val="12.0"/>
      </rPr>
      <t>Photos or diagrams of physical zones</t>
    </r>
  </si>
  <si>
    <t xml:space="preserve">It was observed that ARK-IS-ISO-PRO-07 (Section 6.8) defines physical security zones including public, work, restricted, storage, and meeting areas, with access to restricted zones limited to authorized personnel. CCTV footage presented (Image 5) confirms active monitoring across multiple office zones including reception, workspaces, and common areas. </t>
  </si>
  <si>
    <t>5.1.3</t>
  </si>
  <si>
    <t>Ensure that the physical information assets reside within appropriate security zones and are stored in secure physical facilities during non-operational hours.</t>
  </si>
  <si>
    <t>- Review asset storage procedures for non-operational hours.
- Verify that critical information assets are located within high-security zones with restricted access during off-hours.
- Conduct site walk-through or request photos of secure storage areas</t>
  </si>
  <si>
    <t>- Storage SOP for physical information assets
- Site security procedures for non-operational hours
- Access control logs for secure storage zones
- Photos or diagrams of secure storage areas</t>
  </si>
  <si>
    <t>The organization has established requirements for securing physical information assets outside working hours within ARK-IS-ISO-PRO-07 (Section 6.9), mandating that rooms, cabinets, and storage areas be locked when unattended and that confidential information not be left exposed after hours. Access event logs from the Hikvision access control system demonstrate timestamped entry records confirming monitoring of after-hours access.</t>
  </si>
  <si>
    <t>5.1.4</t>
  </si>
  <si>
    <t>Secure the delivery/loading areas that could be used by unauthorized personnel to enter the organization’s premises (e.g. segregate physically where possible, incoming and outgoing shipments).</t>
  </si>
  <si>
    <t>- Verify physical segregation of delivery/loading areas from secure zones.
- Review controls implemented (guards, CCTV, alarms) in delivery/loading areas.
- Validate SOP for screening and supervising incoming/outgoing shipments</t>
  </si>
  <si>
    <t>- Site layout showing delivery/loading area segregation
- Delivery/loading area security procedures
- CCTV footage samples for delivery areas
- Visitor logs and shipment screening records</t>
  </si>
  <si>
    <t>Not Applicable. The organization operates a SaaS-based model and does not manage a production data center or dedicated delivery/loading areas. As noted in ARK-IS-ISO-PRO-07 (Section 6.4), physical infrastructure is hosted through third-party cloud providers. Delivery personnel are treated as visitors and subject to visitor management controls per Section 6.10.</t>
  </si>
  <si>
    <t>5.1.5</t>
  </si>
  <si>
    <t>Protect physical information assets against damage from environmental threats, hazards, and unauthorized physical access by taking into consideration the following factors:
Protection measures against physical threats (e.g. fires, accidents, power failures, failures in supporting utilities, natural disasters)
Securing cables against interception, interference or damage as well as a proper cable management (e.g. cable labelling, color code)
Operating physical information assets according to the manufacturer specified requirements and controlling the working atmosphere (e.g. temperature, humidity, air quality, water, and light)
Protection against unauthorized access (e.g. surveillance through CCTV, alarm systems, motion sensors)</t>
  </si>
  <si>
    <t>- Review protection measures for environmental risks and validate that required equipment is in place (fire suppression, UPS, HVAC).
- Verify that cable management guidelines are implemented and followed.
- Review surveillance system coverage and testing records.
- Conduct sample review of equipment operating conditions monitoring logs.</t>
  </si>
  <si>
    <t>- PHYSICAL AND ENVIRONMENTAL POLICY</t>
  </si>
  <si>
    <t xml:space="preserve">It was observed that ARK-IS-ISO-PRO-07 addresses protection against unauthorized physical access through CCTV (Section 6.3), physical security zones (Section 6.8), and access card controls (Section 6.1). Active CCTV coverage is evidenced by the multi-camera Hikvision feed (Image 5), and the Hikvision access control system (Images 1 and 2) confirms face anti-spoofing and door lock/unlock event logging. Environmental threat controls for SaaS-hosted environments are addressed through supplier assurance (Section 6.14). </t>
  </si>
  <si>
    <t>5.1.6</t>
  </si>
  <si>
    <t>Protect physical information assets during their transportation taking into consideration e.g. the assessed risks, security during movement.</t>
  </si>
  <si>
    <t>- Review procedures for transporting physical information assets (internal moves, offsite backup transport, equipment shipment).
- Verify transport risk assessment documentation and controls (sealed containers, escorting, approved vendors).
- Validate existence of chain-of-custody procedures and associated records.</t>
  </si>
  <si>
    <t>- Transport and handling SOP for physical assets
- Risk assessment reports for asset transportation
- Chain-of-custody logs or forms
- Vendor contracts with transport security clauses
- Incident reports (if any) from transport activities</t>
  </si>
  <si>
    <t xml:space="preserve">ARK-IS-ISO-PRO-07 (Section 6.10) establishes controls for asset movement, requiring prior approval for moving laptops, access cards, printed information, or IT equipment off premises, with incoming and outgoing assets recorded and verified. </t>
  </si>
  <si>
    <t>5.1.7</t>
  </si>
  <si>
    <t xml:space="preserve"> Continuously measure, review and optimize the [ Requirements for the Protection of Physical Information Assets].</t>
  </si>
  <si>
    <t>The organization has established a KPI framework in ARK-IS-ISO-PRO-07 (Section 8) covering access card usage, revocation timeliness, visitor registration compliance, and CCTV functionality, tracked on monthly and quarterly frequencies. The document is subject to annual review with a documented major revision in January 2026.</t>
  </si>
  <si>
    <t>5.2.1</t>
  </si>
  <si>
    <t>Define and document [Requirements for Physical Access Management] which consider the following:
Physical access authorizations and control
Monitoring physical access</t>
  </si>
  <si>
    <t>- Review the documented Requirements for Physical Access Management.
- Verify that the document defines authorization levels, access request and approval process, and monitoring requirements (logging, CCTV, sensors).
- Validate periodic review procedures for access authorizations.</t>
  </si>
  <si>
    <r>
      <rPr>
        <rFont val="Poppins"/>
        <color theme="1"/>
        <sz val="12.0"/>
      </rPr>
      <t xml:space="preserve">- Requirements for Physical Access Management document
- Access request and approval forms/workflows
- Monitoring procedures and retention policy
</t>
    </r>
    <r>
      <rPr>
        <rFont val="Poppins"/>
        <b/>
        <color theme="1"/>
        <sz val="12.0"/>
      </rPr>
      <t>- Physical access audit reports</t>
    </r>
  </si>
  <si>
    <t xml:space="preserve">The organization has documented physical access management requirements within ARK-IS-ISO-PRO-07, covering access card issuance, authorization, revocation, visitor controls, and physical access monitoring through CCTV and access logs (Sections 6.1, 6.11, 6.12, and 6.13). </t>
  </si>
  <si>
    <t>5.2.2</t>
  </si>
  <si>
    <t>Create a [Physical Access Control List] of individuals with authorized access to the organization’s facilities and issue appropriate authorization credentials</t>
  </si>
  <si>
    <t>- Verify existence of a current Physical Access Control List.
- Validate that the list is updated regularly and includes only authorized individuals.
- Confirm that appropriate credentials (badges, biometric access, keys) are issued per policy.
- Cross-check the list against HR records for terminations and role changes</t>
  </si>
  <si>
    <r>
      <rPr>
        <rFont val="Poppins"/>
        <color theme="1"/>
        <sz val="12.0"/>
      </rPr>
      <t>-</t>
    </r>
    <r>
      <rPr>
        <rFont val="Poppins"/>
        <b/>
        <color theme="1"/>
        <sz val="12.0"/>
      </rPr>
      <t xml:space="preserve"> Physical Access Control List</t>
    </r>
    <r>
      <rPr>
        <rFont val="Poppins"/>
        <color theme="1"/>
        <sz val="12.0"/>
      </rPr>
      <t xml:space="preserve"> (export or sample view)
- Access badge issuance records/logs
</t>
    </r>
    <r>
      <rPr>
        <rFont val="Poppins"/>
        <b/>
        <color theme="1"/>
        <sz val="12.0"/>
      </rPr>
      <t>- Physical access audit reports (same as previous control)</t>
    </r>
    <r>
      <rPr>
        <rFont val="Poppins"/>
        <color theme="1"/>
        <sz val="12.0"/>
      </rPr>
      <t xml:space="preserve">
- Revocation logs for terminated/changed users</t>
    </r>
  </si>
  <si>
    <t xml:space="preserve">It was observed that ARK-IS-ISO-PRO-07 (Section 6.11) mandates the maintenance of a Physical Access Control List identifying authorized individuals, assigned areas, access type, and approval authority. The Hikvision access control system (Images 4 and 6) demonstrates active individual-level access credential management with named employee authentication records. </t>
  </si>
  <si>
    <t>5.2.3</t>
  </si>
  <si>
    <t>Define and implement {Physical Access Management} process to grant and manage access (e.g. secure keys) to the physical facilities.</t>
  </si>
  <si>
    <t>- Review the Physical Access Management process documentation.
- Validate that the process includes roles and responsibilities, approval workflows, badge/key management, and periodic reviews.
- Confirm that access is granted based on need and aligned to role-based requirements.</t>
  </si>
  <si>
    <r>
      <rPr>
        <rFont val="Poppins"/>
        <b/>
        <color theme="1"/>
        <sz val="12.0"/>
      </rPr>
      <t>- HR Policy and Physical Access Provision Process Documentation</t>
    </r>
    <r>
      <rPr>
        <rFont val="Poppins"/>
        <color theme="1"/>
        <sz val="12.0"/>
      </rPr>
      <t xml:space="preserve">
- Approval records for granting/revoking access
- Key/badge issuance logs
- Physical access review meeting minutes</t>
    </r>
  </si>
  <si>
    <t>The organization has implemented a physical access management process evidenced by the Hikvision access control system, which captures face authentication, door unlock/lock events, and failed authentication attempts (Images 1 and 2). ARK-IS-ISO-PRO-07 (Sections 6.1 and 6.11) defines the access granting, modification, and revocation procedures.</t>
  </si>
  <si>
    <t>5.2.4</t>
  </si>
  <si>
    <t>Establish physical entry controls for visitors (e.g. provide security badges to the visitors and monitor unusual activity).</t>
  </si>
  <si>
    <t>- Review visitor access policy and visitor management system setup.
- Verify that visitor badges are issued and returned on entry/exit.
- Confirm that visitor activities are logged and monitored (e.g. CCTV coverage, manual logs, electronic check-in/out).
- Validate process for identifying and responding to unusual visitor behavior.</t>
  </si>
  <si>
    <t>- Visitor access policy
- Visitor log book or electronic visitor management system reports
- Samples of visitor badges
- Incident logs related to visitor activities
- CCTV coverage maps for visitor-accessible areas</t>
  </si>
  <si>
    <t>Visitor management controls are defined in ARK-IS-ISO-PRO-07 (Section 6.2) requiring identity verification, visitor log registration, badge issuance, and escort requirements. A physical Visitor Log Document was presented as evidence, recording visitor names, ID numbers, purpose of visit, meeting location, and arrival/departure times (Image 3).</t>
  </si>
  <si>
    <t>5.2.5</t>
  </si>
  <si>
    <r>
      <rPr>
        <rFont val="Poppins"/>
        <color theme="1"/>
        <sz val="12.0"/>
      </rPr>
      <t xml:space="preserve">Continuously review the </t>
    </r>
    <r>
      <rPr>
        <rFont val="Times New Roman"/>
        <b/>
        <color theme="1"/>
        <sz val="12.0"/>
      </rPr>
      <t>[Physical Access Control List]</t>
    </r>
    <r>
      <rPr>
        <rFont val="Times New Roman"/>
        <color theme="1"/>
        <sz val="12.0"/>
      </rPr>
      <t xml:space="preserve"> of individuals with authorized access to facilities and remove them from the list when access is no longer required</t>
    </r>
    <r>
      <rPr>
        <rFont val="Times New Roman"/>
        <b/>
        <color theme="1"/>
        <sz val="12.0"/>
      </rPr>
      <t>.</t>
    </r>
  </si>
  <si>
    <t>- Physical Access Control List (PACL) review records
- Periodic review reports confirming authorized individuals' access rights
- Access removal records for individuals no longer requiring physical access
- PACL review schedule and approval documentation</t>
  </si>
  <si>
    <t>ARK-IS-ISO-PRO-07 (Section 6.12) mandates periodic review of physical access rights against current role, employment, and contract status, with timely removal upon termination or role change. The KPI framework targets 95% access card revocation within 24 hours of departure (Section 8).</t>
  </si>
  <si>
    <t>5.2.6</t>
  </si>
  <si>
    <r>
      <rPr>
        <rFont val="Poppins"/>
        <color theme="1"/>
        <sz val="12.0"/>
      </rPr>
      <t xml:space="preserve">Regularly review physical access logs for suspicious activity </t>
    </r>
    <r>
      <rPr>
        <rFont val="Times New Roman"/>
        <b/>
        <color theme="1"/>
        <sz val="12.0"/>
      </rPr>
      <t>[Logging and Monitoring]</t>
    </r>
    <r>
      <rPr>
        <rFont val="Times New Roman"/>
        <color theme="1"/>
        <sz val="12.0"/>
      </rPr>
      <t>.</t>
    </r>
  </si>
  <si>
    <t>- Physical access log review records (periodic review evidence)
- Anomaly or suspicious activity reports from physical access log analysis
- Review schedule defining frequency of physical access log monitoring
- Escalation records for suspicious physical access events</t>
  </si>
  <si>
    <t>It was observed that ARK-IS-ISO-PRO-07 (Section 6.13) requires periodic review of physical access records, visitor logs, and CCTV footage for suspicious or unauthorized activity. The Hikvision system (Images 1 and 2) demonstrates an active, searchable access event log capturing 429 events including failed face authentications, door unlock events, and timestamped entry records, supporting regular log review activities.</t>
  </si>
  <si>
    <t>5.2.7</t>
  </si>
  <si>
    <r>
      <rPr>
        <rFont val="Poppins"/>
        <color theme="1"/>
        <sz val="12.0"/>
      </rPr>
      <t xml:space="preserve">Continuously measure, review and optimize the </t>
    </r>
    <r>
      <rPr>
        <rFont val="Times New Roman"/>
        <b/>
        <color theme="1"/>
        <sz val="12.0"/>
      </rPr>
      <t>[Requirements for Physical Access Management]</t>
    </r>
    <r>
      <rPr>
        <rFont val="Times New Roman"/>
        <color theme="1"/>
        <sz val="12.0"/>
      </rPr>
      <t xml:space="preserve"> as well as the effectiveness of the process.</t>
    </r>
  </si>
  <si>
    <t>- Periodic review records for Requirements for Physical Access Management
- Updated Physical Access Management Policy version history
- Review meeting minutes with management approval
- Physical access control effectiveness metrics and improvement actions</t>
  </si>
  <si>
    <t>The organization has established KPIs for physical access management effectiveness in ARK-IS-ISO-PRO-07 (Section 8), including access card usage compliance (80% monthly), access card revocation (95% quarterly), and visitor registration compliance (90% monthly). The document is subject to annual review with governance maintained by the Information Security Team. This</t>
  </si>
  <si>
    <t>Objective 6.1 Ensure cybersecurity requirements are contracted and applied by their cloud service provider.
Objective 6.2 Ensure cybersecurity requirements are contracted and applied by third parties providing outsourcing information assets to the organization.</t>
  </si>
  <si>
    <t>6.1.1</t>
  </si>
  <si>
    <t xml:space="preserve">Cloud Services </t>
  </si>
  <si>
    <t>Define and document [Requirements for Cloud Services] which consider the following:
Cybersecurity requirements expected from the cloud provider
Service level agreements</t>
  </si>
  <si>
    <t>- Review the documented Requirements for Cloud Services.
- Verify that the document defines minimum cybersecurity requirements for cloud providers (data security, incident response, access controls, etc.).
- Confirm that service level expectations are clearly documented (availability, performance, response times).</t>
  </si>
  <si>
    <t>- List of cybersecurity requirements per provider
- SLA documents with cloud providers
- Approved Cloud Governance policy</t>
  </si>
  <si>
    <t xml:space="preserve">The organization has documented cloud service security requirements across the Information Security Policy (ARK-IS-ISO-00, Ver 2.0) and the Outsourcing &amp; Third-Party Security Policy (ARK-IS-ISO-14, Ver 1.0), covering cybersecurity expectations from third-party providers, SLA requirements, NDA obligations, access controls, incident response, and data disposal. The Business Processes document (ARK-IS-ISO-PRO-01, Ver 1.0) further contextualizes the multi-cloud architecture (OCI, AWS, Azure) underpinning Arkan's core service delivery. </t>
  </si>
  <si>
    <t>6.1.2</t>
  </si>
  <si>
    <t>Conduct a risk assessment in accordance with the  [Cybersecurity Risk Assessment] and  [Information Protection] prior to adopt cloud services (or in the event of changes in relevant legislative and regulatory requirements) to ensure that risks related to the use of cloud services are appropriately identified and addressed.</t>
  </si>
  <si>
    <t>- Verify that a formal risk assessment is conducted prior to onboarding cloud services.
- Confirm that both cybersecurity risks and information protection requirements are considered.
- Review how legislative and regulatory compliance is assessed during the risk assessment.</t>
  </si>
  <si>
    <r>
      <rPr>
        <rFont val="Poppins"/>
        <color theme="1"/>
        <sz val="12.0"/>
      </rPr>
      <t xml:space="preserve">- Risk assessment reports for cloud services
</t>
    </r>
    <r>
      <rPr>
        <rFont val="Poppins"/>
        <b/>
        <color theme="1"/>
        <sz val="12.0"/>
      </rPr>
      <t xml:space="preserve">- Risk register entries related to cloud adoption (onboarding the cloud service provider)
</t>
    </r>
    <r>
      <rPr>
        <rFont val="Poppins"/>
        <color theme="1"/>
        <sz val="12.0"/>
      </rPr>
      <t>- Mapping to legal/regulatory requirements
- Risk treatment plans based on assessment findings</t>
    </r>
  </si>
  <si>
    <t xml:space="preserve">t was observed that ARK-IS-ISO-00 (Section 14) and ARK-IS-ISO-14 both mandate risk assessments prior to engaging cloud or third-party providers, with the Risk Management Processes (ARK-IS-ISO-21) providing the methodology. The Risk Register (ARK-ISO-Risk_Assessment_v2.0) includes assessed risks specifically covering cloud infrastructure across OCI, Azure, and AWS (R-054 through R-060). </t>
  </si>
  <si>
    <t>6.1.3</t>
  </si>
  <si>
    <t>Based on the cloud risk assessment and the  [Requirements for Asset classification] identify the [Cloud Cybersecurity Requirements] needed to protect the confidentiality, integrity and availability of the information assets in the cloud.</t>
  </si>
  <si>
    <t>- Validate that Cloud Cybersecurity Requirements are derived from both the cloud risk assessment and the asset classification.
- Confirm that specific controls are implemented based on data sensitivity and classification.
- Review requirements for encryption, access control, monitoring, and backup aligned to asset criticality</t>
  </si>
  <si>
    <t>-  Mapping between asset classification and cloud controls
- Technical architecture diagrams showing implemented controls
- Verification of applied controls (encryption settings, access management)</t>
  </si>
  <si>
    <t>The organization identifies cloud cybersecurity requirements through the combined application of the Data Classification Policy (ARK-IS-ISO-POL-10) and the risk assessment process. Risks R-054 to R-060 in the Risk Register demonstrate asset-specific controls mapped to ISO 27001 control IDs across cloud-hosted environments, reflecting classification-driven protection requirements.</t>
  </si>
  <si>
    <t>6.1.4</t>
  </si>
  <si>
    <t>Establish service level agreements (SLAs) with the cloud service provider which consider at least the following:
[Cloud Cybersecurity Requirements]
Incident notification and recovery obligations
Making sure that the cloud service can be terminated in case of non-compliance with the contractual agreements
Defining the exit procedures covering the secure deletion of data (e.g. irreversibly delete the organization’s data, media destruction, returning organization data in a usable format, data retention).</t>
  </si>
  <si>
    <t>- Review SLAs with cloud providers to confirm they cover all required items listed in the control description.
- Validate the presence of clauses for data deletion and contract termination on non-compliance.
- Verify incident notification and recovery obligations are clearly defined and agreed upon</t>
  </si>
  <si>
    <t>- Signed SLAs with cloud service providers
- Clauses covering Cloud Cybersecurity Requirements
- Incident notification process/protocol agreed with provider
- Data exit procedure documentation from provider</t>
  </si>
  <si>
    <t>ARK-IS-ISO-14 (Section 6.3 – Outsourcing Agreements) mandates that third-party agreements cover confidentiality, controlled access, data protection methods, incident response, and data return or destruction with written certification within 24 hours of contract termination. ARK-IS-ISO-00 (Section 11) further requires a right-to-audit clause and data destruction certification in all provider contracts.</t>
  </si>
  <si>
    <t>6.1.5</t>
  </si>
  <si>
    <t>Ensure that the hosting and storage site of the organization’s data is in the Kingdom of Saudi Arabia.</t>
  </si>
  <si>
    <t>- Validate that cloud provider contracts stipulate data residency in KSA.
- Review system architecture and data flow diagrams to ensure that data is stored and processed only in KSA-based datacenters.
- Confirm through audit or attestation that provider complies with this requirement.</t>
  </si>
  <si>
    <t>- Cloud provider contract clauses on data residency
- Data flow diagrams showing storage location
- Cloud provider attestation/certification of data residency
- Periodic audit reports validating compliance</t>
  </si>
  <si>
    <t xml:space="preserve">It was observed that the organization's cloud infrastructure includes a deployment in the Riyadh region (KSA), as confirmed by the Business Processes document (ARK-IS-ISO-PRO-01) and the Asset Inventory Register (ARK-IT-ISO, Ver 2.0), which reflects active instances hosted within the KSA region. </t>
  </si>
  <si>
    <t>6.1.6</t>
  </si>
  <si>
    <t>Audit, review, and monitor the cloud service provider for compliance with contractual obligations.</t>
  </si>
  <si>
    <t>- Cloud service provider audit reports (e.g., SOC 2 Type II, ISO 27001 certificates)
- Cloud provider compliance review records against contractual requirements
- Audit findings log and provider response or remediation records
- Cloud security monitoring reports and SLA compliance evidence</t>
  </si>
  <si>
    <t>ARK-IS-ISO-14 (Section 6.4 – Reporting &amp; Testing) establishes requirements to continuously monitor service provider performance and conduct annual audits, including a formal Right to Audit clause. A tracked folder of vendor ISO certifications was presented as assurance evidence supporting ongoing compliance monitoring of cloud providers. This</t>
  </si>
  <si>
    <t>6.1.7</t>
  </si>
  <si>
    <r>
      <rPr>
        <rFont val="Times New Roman"/>
        <color theme="1"/>
        <sz val="12.0"/>
      </rPr>
      <t xml:space="preserve">Continuously measure, review and optimize the </t>
    </r>
    <r>
      <rPr>
        <rFont val="Times New Roman"/>
        <b/>
        <color theme="1"/>
        <sz val="12.0"/>
      </rPr>
      <t>[Requirements for Cloud Services]</t>
    </r>
    <r>
      <rPr>
        <rFont val="Times New Roman"/>
        <color theme="1"/>
        <sz val="12.0"/>
      </rPr>
      <t>.</t>
    </r>
  </si>
  <si>
    <t>- Periodic review records for Requirements for Cloud Services
- Updated Cloud Security Policy version history
- Review meeting minutes with management sign-off
- Cloud security effectiveness assessment and KPI reports</t>
  </si>
  <si>
    <t>The organization subjects ARK-IS-ISO-14 and ARK-IS-ISO-00 to annual review cycles as documented in their respective revision histories. The Risk Register is maintained and updated annually, and the Information Security Policy (Section 21) mandates continuous monitoring, KPI tracking, and integration of lessons learned into policy updates. This control is considered fully met.</t>
  </si>
  <si>
    <t>6.2.1</t>
  </si>
  <si>
    <t>Define and document [Requirements for Outsourcing Services] which consider the following:
Risk assessment for outsourcing information assets to a third party
Addressing cybersecurity requirements expected from the third-party provider
Service level agreements</t>
  </si>
  <si>
    <t>- Review the documented Requirements for Outsourcing Services.
- Verify that the document requires risk assessment prior to outsourcing and defines expected cybersecurity controls for third-party providers.
- Confirm that service level expectations for cybersecurity are included.</t>
  </si>
  <si>
    <t>- Third-party risk assessment checklist
- List of cybersecurity requirements imposed on third parties
- Example third-party SLA templates</t>
  </si>
  <si>
    <t>The Outsourcing &amp; Third-Party Security Policy (ARK-IS-ISO-14, Ver 1.0) defines requirements for outsourcing determination, risk evaluation across strategic, image, operational, compliance, legal, and termination risk categories, as well as agreement requirements covering confidentiality, access control, data disposal, and audit rights. ARK-IS-ISO-00 (Section 11) further reinforces minimum contractual requirements for third-party engagements. This control is considered fully met.</t>
  </si>
  <si>
    <t>6.2.2</t>
  </si>
  <si>
    <t>Conduct a risk assessment in accordance with the  [Cybersecurity Risk Assessment] and  [Information Protection] prior to outsourcing any information assets to a third party provider (or in the event of changes in relevant legislative and regulatory requirements) to ensure that risks related to the use of outsourcing are appropriately addressed.</t>
  </si>
  <si>
    <t>- Review risk assessment reports for each outsourcing arrangement.
- Confirm that both cybersecurity risks and information protection requirements are evaluated.
- Verify that updates to risk assessments are triggered by regulatory or legal changes.</t>
  </si>
  <si>
    <t>- Risk assessment reports for outsourced services
- Risk register entries related to outsourcing
- Risk treatment plans related to outsourcing risks
- Evidence of periodic reassessment triggered by legal/regulatory change</t>
  </si>
  <si>
    <t>ARK-IS-ISO-14 mandates risk-based evaluation and due diligence prior to engaging third-party providers, including background checks and experience assessments. The Risk Management Processes (ARK-IS-ISO-21) and the active Risk Register provide the formal methodology and evidence of execution, with risks covering third-party and supply chain scenarios documented within the register. This control is considered fully met.</t>
  </si>
  <si>
    <t>6.2.3</t>
  </si>
  <si>
    <t>Based on the risk assessment identify the [Third-party Cybersecurity Requirements] which the third-party provider must comply with to protect the confidentiality, integrity and availability of the outsourced information assets (e.g. non-disclosure clauses).</t>
  </si>
  <si>
    <t>- Review list of Third-party Cybersecurity Requirements derived from the risk assessment.
- Verify inclusion of controls for confidentiality, integrity, and availability.
- Confirm that non-disclosure clauses and other legal protections are included in third-party agreements.</t>
  </si>
  <si>
    <r>
      <rPr>
        <rFont val="Poppins"/>
        <color theme="1"/>
        <sz val="12.0"/>
      </rPr>
      <t xml:space="preserve">- </t>
    </r>
    <r>
      <rPr>
        <rFont val="Poppins"/>
        <b/>
        <color theme="1"/>
        <sz val="12.0"/>
      </rPr>
      <t>Third-party (Vendor) listing</t>
    </r>
    <r>
      <rPr>
        <rFont val="Poppins"/>
        <color theme="1"/>
        <sz val="12.0"/>
      </rPr>
      <t xml:space="preserve">
- Example contracts with third-party providers
- Non-disclosure clause templates
- Verification reports of third-party compliance with requirements</t>
    </r>
  </si>
  <si>
    <t>It was observed that ARK-IS-ISO-14 (Section 6.3) specifies that third-party agreements must define confidentiality obligations, controlled access, data protection methods, and data return or destruction requirements. ARK-IS-ISO-00 (Section 11) mandates NDA signing, policy adherence, minimum access principles, and data destruction certification from all service providers. This control is considered fully met.</t>
  </si>
  <si>
    <t>6.2.4</t>
  </si>
  <si>
    <t>Establish service level agreements with the third-party service provider which consider at least the following:
[Third-party Cybersecurity Requirements]
Communication procedure in case of a cybersecurity incident
Ensuring that the outsourced service can be terminated in case of non-compliance with the contractual agreements
Defining the exit procedures covering the secure deletion of data (e.g. media destruction, encryption).</t>
  </si>
  <si>
    <t>- Review SLAs with third-party service providers to confirm they address all required items.
- Validate that the SLA includes incident notification, termination rights, and exit procedures.
- Confirm that exit procedures for secure data deletion are defined and tested.</t>
  </si>
  <si>
    <t>- Signed SLAs with third-party service providers
- Incident notification and response procedures documented in SLA
- Termination clause examples in third-party contracts
- Documented exit procedures for secure data deletion
- Evidence of exit testing or certification of secure deletion (if performed)</t>
  </si>
  <si>
    <t>The organization requires SLAs with outsourced providers to cover cybersecurity requirements, incident communication procedures, termination rights in cases of non-compliance, and exit procedures including secure data deletion and written destruction certification, as defined in ARK-IS-ISO-14 (Section 6.3) and ARK-IS-ISO-00 (Section 11). This control is considered fully met.</t>
  </si>
  <si>
    <t>6.2.5</t>
  </si>
  <si>
    <t>Audit, review, and monitor the third party provider for compliance with contractual obligations.</t>
  </si>
  <si>
    <t>- Third-party provider audit or assessment reports
- Compliance monitoring records against contractual security requirements
- Audit findings tracker and third-party remediation correspondence
- Third-party security review schedule and frequency documentation</t>
  </si>
  <si>
    <t>ARK-IS-ISO-14 (Section 6.4) establishes requirements for continuous monitoring of service provider performance, annual testing of outsourcing risks within the incident handling plan, and a formal Right to Audit clause in all provider contracts. Vendor ISO certifications were presented as evidence of ongoing third-party assurance activities. This control is considered fully met.</t>
  </si>
  <si>
    <t>6.2.6</t>
  </si>
  <si>
    <t>Ensure that third party personnel are screened when they are contracted to work on critical systems.</t>
  </si>
  <si>
    <t>- Third-party personnel background screening records or policy
- Screening completion confirmation from outsourcing provider
- Contractual clauses mandating personnel screening for third-party staff
- Screening certificate or provider attestation records</t>
  </si>
  <si>
    <t>ARK-IS-ISO-14 references due diligence activities prior to engaging third-party providers, including background checks of service provider personnel. ARK-IS-ISO-00 (Section 11) requires that third-party access to systems be granted only after proper authorization, kept to minimum, time-bound, and continuously monitored with escort requirements. This control is considered fully met.</t>
  </si>
  <si>
    <t>6.2.7</t>
  </si>
  <si>
    <r>
      <rPr>
        <rFont val="Poppins"/>
        <color theme="1"/>
        <sz val="12.0"/>
      </rPr>
      <t xml:space="preserve">Continuously measure, review and optimize the </t>
    </r>
    <r>
      <rPr>
        <rFont val="Times New Roman"/>
        <b/>
        <color theme="1"/>
        <sz val="12.0"/>
      </rPr>
      <t>[Requirements for Outsourcing Services]</t>
    </r>
    <r>
      <rPr>
        <rFont val="Times New Roman"/>
        <color theme="1"/>
        <sz val="12.0"/>
      </rPr>
      <t>.</t>
    </r>
  </si>
  <si>
    <t>- Periodic review records for Requirements for Outsourcing Services
- Updated Outsourcing Security Policy version history
- Review meeting minutes with management approval
- Third-party security effectiveness metrics and contract compliance reports</t>
  </si>
  <si>
    <t>The organization subjects ARK-IS-ISO-14 to an annual review cycle as documented in Section 6. The Information Security Policy (ARK-IS-ISO-00, Section 21) mandates continuous monitoring, KPI measurement, and integration of lessons learned into policy and procedure updates, providing an overarching framework for continuous improvement of outsourcing service requirements. This control is considered fully met.</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</si>
</sst>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color theme="1"/>
      <name val="Calibri"/>
    </font>
    <font>
      <sz val="12.0"/>
      <color rgb="FF548135"/>
      <name val="Calibri"/>
    </font>
    <font>
      <sz val="12.0"/>
      <color rgb="FFBF9000"/>
      <name val="Calibri"/>
    </font>
    <font>
      <sz val="12.0"/>
      <color rgb="FFFF0000"/>
      <name val="Calibri"/>
    </font>
    <font>
      <sz val="12.0"/>
      <color theme="0"/>
      <name val="Calibri"/>
    </font>
    <font>
      <sz val="11.0"/>
      <color theme="1"/>
      <name val="Poppins"/>
    </font>
    <font>
      <b/>
      <sz val="11.0"/>
      <color theme="0"/>
      <name val="Poppins"/>
    </font>
    <font/>
    <font>
      <b/>
      <sz val="11.0"/>
      <color theme="1"/>
      <name val="Poppins"/>
    </font>
    <font>
      <sz val="12.0"/>
      <color theme="1"/>
      <name val="Poppins"/>
    </font>
    <font>
      <b/>
      <sz val="20.0"/>
      <color theme="0"/>
      <name val="Poppins"/>
    </font>
    <font>
      <b/>
      <sz val="12.0"/>
      <color theme="0"/>
      <name val="Poppins"/>
    </font>
    <font>
      <b/>
      <sz val="12.0"/>
      <color rgb="FFFFFFFF"/>
      <name val="Poppins"/>
    </font>
    <font>
      <b/>
      <sz val="12.0"/>
      <color theme="1"/>
      <name val="Poppins"/>
    </font>
    <font>
      <b/>
      <sz val="20.0"/>
      <color rgb="FFFFFFFF"/>
      <name val="Poppins"/>
    </font>
    <font>
      <sz val="12.0"/>
      <color theme="1"/>
      <name val="Times New Roman"/>
    </font>
  </fonts>
  <fills count="20">
    <fill>
      <patternFill patternType="none"/>
    </fill>
    <fill>
      <patternFill patternType="lightGray"/>
    </fill>
    <fill>
      <patternFill patternType="solid">
        <fgColor rgb="FFC5E0B3"/>
        <bgColor rgb="FFC5E0B3"/>
      </patternFill>
    </fill>
    <fill>
      <patternFill patternType="solid">
        <fgColor rgb="FFFEF2CB"/>
        <bgColor rgb="FFFEF2CB"/>
      </patternFill>
    </fill>
    <fill>
      <patternFill patternType="solid">
        <fgColor rgb="FFFBE4D5"/>
        <bgColor rgb="FFFBE4D5"/>
      </patternFill>
    </fill>
    <fill>
      <patternFill patternType="solid">
        <fgColor rgb="FF7F7F7F"/>
        <bgColor rgb="FF7F7F7F"/>
      </patternFill>
    </fill>
    <fill>
      <patternFill patternType="solid">
        <fgColor rgb="FFFF6600"/>
        <bgColor rgb="FFFF6600"/>
      </patternFill>
    </fill>
    <fill>
      <patternFill patternType="solid">
        <fgColor theme="0"/>
        <bgColor theme="0"/>
      </patternFill>
    </fill>
    <fill>
      <patternFill patternType="solid">
        <fgColor rgb="FFE2EFD9"/>
        <bgColor rgb="FFE2EFD9"/>
      </patternFill>
    </fill>
    <fill>
      <patternFill patternType="solid">
        <fgColor rgb="FFFFE598"/>
        <bgColor rgb="FFFFE598"/>
      </patternFill>
    </fill>
    <fill>
      <patternFill patternType="solid">
        <fgColor rgb="FFFF4747"/>
        <bgColor rgb="FFFF4747"/>
      </patternFill>
    </fill>
    <fill>
      <patternFill patternType="solid">
        <fgColor rgb="FF1F3864"/>
        <bgColor rgb="FF1F3864"/>
      </patternFill>
    </fill>
    <fill>
      <patternFill patternType="solid">
        <fgColor rgb="FFFCAD8E"/>
        <bgColor rgb="FFFCAD8E"/>
      </patternFill>
    </fill>
    <fill>
      <patternFill patternType="solid">
        <fgColor rgb="FFD8D8D8"/>
        <bgColor rgb="FFD8D8D8"/>
      </patternFill>
    </fill>
    <fill>
      <patternFill patternType="solid">
        <fgColor rgb="FFB4C6E7"/>
        <bgColor rgb="FFB4C6E7"/>
      </patternFill>
    </fill>
    <fill>
      <patternFill patternType="solid">
        <fgColor theme="9"/>
        <bgColor theme="9"/>
      </patternFill>
    </fill>
    <fill>
      <patternFill patternType="solid">
        <fgColor rgb="FFF7CAAC"/>
        <bgColor rgb="FFF7CAAC"/>
      </patternFill>
    </fill>
    <fill>
      <patternFill patternType="solid">
        <fgColor rgb="FFF4B083"/>
        <bgColor rgb="FFF4B083"/>
      </patternFill>
    </fill>
    <fill>
      <patternFill patternType="solid">
        <fgColor rgb="FFBFBFBF"/>
        <bgColor rgb="FFBFBFBF"/>
      </patternFill>
    </fill>
    <fill>
      <patternFill patternType="solid">
        <fgColor rgb="FFFFFFFF"/>
        <bgColor rgb="FFFFFFFF"/>
      </patternFill>
    </fill>
  </fills>
  <borders count="38">
    <border/>
    <border>
      <left/>
      <right/>
      <top/>
      <bottom/>
    </border>
    <border>
      <left/>
      <top/>
      <bottom/>
    </border>
    <border>
      <top/>
      <bottom/>
    </border>
    <border>
      <left style="thin">
        <color rgb="FFFF6600"/>
      </left>
      <top style="thin">
        <color rgb="FFFF6600"/>
      </top>
    </border>
    <border>
      <top style="thin">
        <color rgb="FFFF6600"/>
      </top>
    </border>
    <border>
      <right style="thin">
        <color rgb="FFFF6600"/>
      </right>
      <top style="thin">
        <color rgb="FFFF6600"/>
      </top>
    </border>
    <border>
      <left style="thin">
        <color rgb="FFFF6600"/>
      </left>
      <bottom style="thin">
        <color rgb="FFFF6600"/>
      </bottom>
    </border>
    <border>
      <bottom style="thin">
        <color rgb="FFFF6600"/>
      </bottom>
    </border>
    <border>
      <right style="thin">
        <color rgb="FFFF6600"/>
      </right>
      <bottom style="thin">
        <color rgb="FFFF6600"/>
      </bottom>
    </border>
    <border>
      <left style="medium">
        <color rgb="FFFF6600"/>
      </left>
      <right style="thin">
        <color rgb="FFFF6600"/>
      </right>
      <top style="medium">
        <color rgb="FFFF6600"/>
      </top>
    </border>
    <border>
      <left style="thin">
        <color rgb="FFFF6600"/>
      </left>
      <top style="medium">
        <color rgb="FFFF6600"/>
      </top>
    </border>
    <border>
      <right style="medium">
        <color rgb="FFFF6600"/>
      </right>
      <top style="medium">
        <color rgb="FFFF6600"/>
      </top>
    </border>
    <border>
      <top style="medium">
        <color rgb="FFFF6600"/>
      </top>
      <bottom style="thin">
        <color rgb="FFFF6600"/>
      </bottom>
    </border>
    <border>
      <right style="medium">
        <color rgb="FFFF6600"/>
      </right>
      <top style="medium">
        <color rgb="FFFF6600"/>
      </top>
      <bottom style="thin">
        <color rgb="FFFF6600"/>
      </bottom>
    </border>
    <border>
      <left style="thin">
        <color rgb="FFFF6600"/>
      </left>
      <top style="thin">
        <color rgb="FFFF6600"/>
      </top>
      <bottom style="thin">
        <color rgb="FFFF6600"/>
      </bottom>
    </border>
    <border>
      <top style="thin">
        <color rgb="FFFF6600"/>
      </top>
      <bottom style="thin">
        <color rgb="FFFF6600"/>
      </bottom>
    </border>
    <border>
      <right style="thin">
        <color rgb="FFFF6600"/>
      </right>
      <top style="thin">
        <color rgb="FFFF6600"/>
      </top>
      <bottom style="thin">
        <color rgb="FFFF6600"/>
      </bottom>
    </border>
    <border>
      <left style="medium">
        <color rgb="FFFF6600"/>
      </left>
      <right style="thin">
        <color rgb="FFFF6600"/>
      </right>
    </border>
    <border>
      <left style="thin">
        <color rgb="FFFF6600"/>
      </left>
    </border>
    <border>
      <right style="medium">
        <color rgb="FFFF6600"/>
      </right>
    </border>
    <border>
      <top style="thin">
        <color rgb="FFFF6600"/>
      </top>
      <bottom style="medium">
        <color rgb="FFFF6600"/>
      </bottom>
    </border>
    <border>
      <right style="thin">
        <color rgb="FFFF6600"/>
      </right>
      <top style="thin">
        <color rgb="FFFF6600"/>
      </top>
      <bottom style="medium">
        <color rgb="FFFF6600"/>
      </bottom>
    </border>
    <border>
      <left style="thin">
        <color rgb="FFFF6600"/>
      </left>
      <top style="thin">
        <color rgb="FFFF6600"/>
      </top>
      <bottom style="medium">
        <color rgb="FFFF6600"/>
      </bottom>
    </border>
    <border>
      <right style="medium">
        <color rgb="FFFF6600"/>
      </right>
      <top style="thin">
        <color rgb="FFFF6600"/>
      </top>
      <bottom style="medium">
        <color rgb="FFFF6600"/>
      </bottom>
    </border>
    <border>
      <right style="medium">
        <color rgb="FFFF6600"/>
      </right>
      <top style="thin">
        <color rgb="FFFF6600"/>
      </top>
      <bottom style="thin">
        <color rgb="FFFF6600"/>
      </bottom>
    </border>
    <border>
      <left/>
      <top/>
      <bottom style="thin">
        <color rgb="FFFF6600"/>
      </bottom>
    </border>
    <border>
      <right style="thin">
        <color rgb="FFFF6600"/>
      </right>
      <top/>
      <bottom style="thin">
        <color rgb="FFFF6600"/>
      </bottom>
    </border>
    <border>
      <left style="thin">
        <color rgb="FFFF6600"/>
      </left>
      <top/>
      <bottom style="thin">
        <color rgb="FFFF6600"/>
      </bottom>
    </border>
    <border>
      <left/>
      <top style="thin">
        <color rgb="FFFF6600"/>
      </top>
      <bottom style="thin">
        <color rgb="FFFF6600"/>
      </bottom>
    </border>
    <border>
      <left style="medium">
        <color rgb="FFFF6600"/>
      </left>
      <right style="thin">
        <color rgb="FFFF6600"/>
      </right>
      <bottom style="medium">
        <color rgb="FFFF6600"/>
      </bottom>
    </border>
    <border>
      <left style="thin">
        <color rgb="FFFF6600"/>
      </left>
      <right style="thin">
        <color rgb="FFFF6600"/>
      </right>
      <top style="thin">
        <color rgb="FFFF6600"/>
      </top>
      <bottom style="thin">
        <color rgb="FFFF6600"/>
      </bottom>
    </border>
    <border>
      <left/>
      <right style="thin">
        <color rgb="FFFF6600"/>
      </right>
      <top style="thin">
        <color rgb="FFFF6600"/>
      </top>
      <bottom style="thin">
        <color rgb="FFFF6600"/>
      </bottom>
    </border>
    <border>
      <left style="thin">
        <color rgb="FF000000"/>
      </left>
      <right style="thin">
        <color rgb="FF000000"/>
      </right>
      <top style="thin">
        <color rgb="FF000000"/>
      </top>
      <bottom style="thin">
        <color rgb="FF000000"/>
      </bottom>
    </border>
    <border>
      <left style="medium">
        <color rgb="FFA5A5A5"/>
      </left>
      <right style="medium">
        <color rgb="FFA5A5A5"/>
      </right>
      <top style="medium">
        <color rgb="FFA5A5A5"/>
      </top>
      <bottom style="medium">
        <color rgb="FFA5A5A5"/>
      </bottom>
    </border>
    <border>
      <left style="thin">
        <color rgb="FFFF6600"/>
      </left>
      <right style="thin">
        <color rgb="FFFF6600"/>
      </right>
      <top style="thin">
        <color rgb="FFFF6600"/>
      </top>
    </border>
    <border>
      <left style="thin">
        <color rgb="FFFF6600"/>
      </left>
      <right style="thin">
        <color rgb="FFFF6600"/>
      </right>
    </border>
    <border>
      <left style="thin">
        <color rgb="FFFF6600"/>
      </left>
      <right style="thin">
        <color rgb="FFFF6600"/>
      </right>
      <bottom style="thin">
        <color rgb="FFFF66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3" fontId="3" numFmtId="0" xfId="0" applyBorder="1" applyFill="1" applyFont="1"/>
    <xf borderId="1" fillId="4" fontId="4" numFmtId="0" xfId="0" applyBorder="1" applyFill="1" applyFont="1"/>
    <xf borderId="1" fillId="5" fontId="5" numFmtId="0" xfId="0" applyBorder="1" applyFill="1" applyFont="1"/>
    <xf borderId="0" fillId="0" fontId="6" numFmtId="0" xfId="0" applyFont="1"/>
    <xf borderId="2" fillId="6" fontId="7" numFmtId="0" xfId="0" applyAlignment="1" applyBorder="1" applyFill="1" applyFont="1">
      <alignment horizontal="center" shrinkToFit="0" vertical="center" wrapText="1"/>
    </xf>
    <xf borderId="3" fillId="0" fontId="8" numFmtId="0" xfId="0" applyBorder="1" applyFont="1"/>
    <xf borderId="4" fillId="7" fontId="6" numFmtId="0" xfId="0" applyAlignment="1" applyBorder="1" applyFill="1" applyFont="1">
      <alignment horizontal="left" shrinkToFit="0" vertical="top" wrapText="1"/>
    </xf>
    <xf borderId="5" fillId="0" fontId="8" numFmtId="0" xfId="0" applyBorder="1" applyFont="1"/>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 fillId="7" fontId="6" numFmtId="0" xfId="0" applyAlignment="1" applyBorder="1" applyFont="1">
      <alignment shrinkToFit="0" vertical="center" wrapText="1"/>
    </xf>
    <xf borderId="2" fillId="7" fontId="9" numFmtId="0" xfId="0" applyAlignment="1" applyBorder="1" applyFont="1">
      <alignment horizontal="center" shrinkToFit="0" vertical="top" wrapText="1"/>
    </xf>
    <xf borderId="2" fillId="7" fontId="6" numFmtId="0" xfId="0" applyAlignment="1" applyBorder="1" applyFont="1">
      <alignment horizontal="left" shrinkToFit="0" vertical="top" wrapText="1"/>
    </xf>
    <xf borderId="10" fillId="0" fontId="6" numFmtId="0" xfId="0" applyAlignment="1" applyBorder="1" applyFont="1">
      <alignment horizontal="center" textRotation="90" vertical="center"/>
    </xf>
    <xf borderId="11" fillId="0" fontId="6" numFmtId="0" xfId="0" applyAlignment="1" applyBorder="1" applyFont="1">
      <alignment horizontal="center"/>
    </xf>
    <xf borderId="12" fillId="0" fontId="8" numFmtId="0" xfId="0" applyBorder="1" applyFont="1"/>
    <xf borderId="13" fillId="0" fontId="6" numFmtId="0" xfId="0" applyAlignment="1" applyBorder="1" applyFont="1">
      <alignment horizontal="center"/>
    </xf>
    <xf borderId="13" fillId="0" fontId="8" numFmtId="0" xfId="0" applyBorder="1" applyFont="1"/>
    <xf borderId="14" fillId="0" fontId="8" numFmtId="0" xfId="0" applyBorder="1" applyFont="1"/>
    <xf quotePrefix="1" borderId="15" fillId="0" fontId="6" numFmtId="0" xfId="0" applyAlignment="1" applyBorder="1" applyFont="1">
      <alignment horizontal="center" shrinkToFit="0" vertical="top" wrapText="1"/>
    </xf>
    <xf borderId="16" fillId="0" fontId="8" numFmtId="0" xfId="0" applyBorder="1" applyFont="1"/>
    <xf borderId="17" fillId="0" fontId="8" numFmtId="0" xfId="0" applyBorder="1" applyFont="1"/>
    <xf borderId="15" fillId="0" fontId="6" numFmtId="0" xfId="0" applyAlignment="1" applyBorder="1" applyFont="1">
      <alignment horizontal="center" shrinkToFit="0" vertical="top" wrapText="1"/>
    </xf>
    <xf borderId="18" fillId="0" fontId="8" numFmtId="0" xfId="0" applyBorder="1" applyFont="1"/>
    <xf borderId="19" fillId="0" fontId="8" numFmtId="0" xfId="0" applyBorder="1" applyFont="1"/>
    <xf borderId="20" fillId="0" fontId="8" numFmtId="0" xfId="0" applyBorder="1" applyFont="1"/>
    <xf borderId="21" fillId="0" fontId="6" numFmtId="0" xfId="0" applyAlignment="1" applyBorder="1" applyFont="1">
      <alignment horizontal="center"/>
    </xf>
    <xf borderId="22" fillId="0" fontId="8" numFmtId="0" xfId="0" applyBorder="1" applyFont="1"/>
    <xf borderId="23" fillId="0" fontId="6" numFmtId="0" xfId="0" applyAlignment="1" applyBorder="1" applyFont="1">
      <alignment horizontal="center"/>
    </xf>
    <xf borderId="24" fillId="0" fontId="8" numFmtId="0" xfId="0" applyBorder="1" applyFont="1"/>
    <xf borderId="15" fillId="0" fontId="6" numFmtId="0" xfId="0" applyAlignment="1" applyBorder="1" applyFont="1">
      <alignment horizontal="center"/>
    </xf>
    <xf borderId="25" fillId="0" fontId="8" numFmtId="0" xfId="0" applyBorder="1" applyFont="1"/>
    <xf borderId="26" fillId="8" fontId="6" numFmtId="0" xfId="0" applyAlignment="1" applyBorder="1" applyFill="1" applyFont="1">
      <alignment horizontal="center"/>
    </xf>
    <xf borderId="27" fillId="0" fontId="8" numFmtId="0" xfId="0" applyBorder="1" applyFont="1"/>
    <xf borderId="28" fillId="8" fontId="6" numFmtId="0" xfId="0" applyAlignment="1" applyBorder="1" applyFont="1">
      <alignment horizontal="center"/>
    </xf>
    <xf borderId="28" fillId="9" fontId="6" numFmtId="0" xfId="0" applyAlignment="1" applyBorder="1" applyFill="1" applyFont="1">
      <alignment horizontal="center"/>
    </xf>
    <xf borderId="29" fillId="8" fontId="6" numFmtId="0" xfId="0" applyAlignment="1" applyBorder="1" applyFont="1">
      <alignment horizontal="center"/>
    </xf>
    <xf borderId="15" fillId="9" fontId="6" numFmtId="0" xfId="0" applyAlignment="1" applyBorder="1" applyFont="1">
      <alignment horizontal="center"/>
    </xf>
    <xf borderId="15" fillId="10" fontId="6" numFmtId="0" xfId="0" applyAlignment="1" applyBorder="1" applyFill="1" applyFont="1">
      <alignment horizontal="center"/>
    </xf>
    <xf borderId="30" fillId="0" fontId="8" numFmtId="0" xfId="0" applyBorder="1" applyFont="1"/>
    <xf quotePrefix="1" borderId="29" fillId="9" fontId="6" numFmtId="0" xfId="0" applyAlignment="1" applyBorder="1" applyFont="1">
      <alignment horizontal="center" shrinkToFit="0" vertical="top" wrapText="1"/>
    </xf>
    <xf borderId="15" fillId="10" fontId="6" numFmtId="0" xfId="0" applyAlignment="1" applyBorder="1" applyFont="1">
      <alignment horizontal="center" shrinkToFit="0" vertical="top" wrapText="1"/>
    </xf>
    <xf quotePrefix="1" borderId="4" fillId="7" fontId="6" numFmtId="0" xfId="0" applyAlignment="1" applyBorder="1" applyFont="1">
      <alignment horizontal="left" shrinkToFit="0" vertical="top" wrapText="1"/>
    </xf>
    <xf borderId="15" fillId="7" fontId="9" numFmtId="0" xfId="0" applyAlignment="1" applyBorder="1" applyFont="1">
      <alignment horizontal="left" shrinkToFit="0" vertical="top" wrapText="1"/>
    </xf>
    <xf borderId="15" fillId="7" fontId="6" numFmtId="0" xfId="0" applyAlignment="1" applyBorder="1" applyFont="1">
      <alignment horizontal="left" shrinkToFit="0" vertical="top" wrapText="1"/>
    </xf>
    <xf borderId="1" fillId="7" fontId="6" numFmtId="0" xfId="0" applyAlignment="1" applyBorder="1" applyFont="1">
      <alignment shrinkToFit="0" vertical="top" wrapText="1"/>
    </xf>
    <xf quotePrefix="1" borderId="15" fillId="7" fontId="6" numFmtId="0" xfId="0" applyAlignment="1" applyBorder="1" applyFont="1">
      <alignment horizontal="left" shrinkToFit="0" vertical="top" wrapText="1"/>
    </xf>
    <xf borderId="2" fillId="6" fontId="7" numFmtId="0" xfId="0" applyAlignment="1" applyBorder="1" applyFont="1">
      <alignment horizontal="center"/>
    </xf>
    <xf borderId="15" fillId="0" fontId="6" numFmtId="0" xfId="0" applyAlignment="1" applyBorder="1" applyFont="1">
      <alignment horizontal="left" shrinkToFit="0" vertical="center" wrapText="1"/>
    </xf>
    <xf borderId="15" fillId="0" fontId="6" numFmtId="0" xfId="0" applyAlignment="1" applyBorder="1" applyFont="1">
      <alignment horizontal="left" vertical="center"/>
    </xf>
    <xf borderId="0" fillId="0" fontId="10" numFmtId="0" xfId="0" applyAlignment="1" applyFont="1">
      <alignment horizontal="left" vertical="center"/>
    </xf>
    <xf borderId="0" fillId="0" fontId="10" numFmtId="0" xfId="0" applyAlignment="1" applyFont="1">
      <alignment horizontal="left" shrinkToFit="0" vertical="center" wrapText="1"/>
    </xf>
    <xf borderId="2" fillId="11" fontId="11" numFmtId="0" xfId="0" applyAlignment="1" applyBorder="1" applyFill="1" applyFont="1">
      <alignment horizontal="center" vertical="center"/>
    </xf>
    <xf borderId="31" fillId="6" fontId="12" numFmtId="0" xfId="0" applyAlignment="1" applyBorder="1" applyFont="1">
      <alignment horizontal="center" vertical="center"/>
    </xf>
    <xf borderId="31" fillId="6" fontId="12" numFmtId="0" xfId="0" applyAlignment="1" applyBorder="1" applyFont="1">
      <alignment horizontal="center" shrinkToFit="0" vertical="center" wrapText="1"/>
    </xf>
    <xf borderId="15" fillId="5" fontId="13" numFmtId="0" xfId="0" applyAlignment="1" applyBorder="1" applyFont="1">
      <alignment horizontal="center" vertical="center"/>
    </xf>
    <xf borderId="32" fillId="11" fontId="12" numFmtId="2" xfId="0" applyAlignment="1" applyBorder="1" applyFont="1" applyNumberFormat="1">
      <alignment horizontal="center" vertical="center"/>
    </xf>
    <xf borderId="31" fillId="0" fontId="10" numFmtId="0" xfId="0" applyAlignment="1" applyBorder="1" applyFont="1">
      <alignment horizontal="left" vertical="center"/>
    </xf>
    <xf borderId="31" fillId="0" fontId="10" numFmtId="0" xfId="0" applyAlignment="1" applyBorder="1" applyFont="1">
      <alignment horizontal="left" readingOrder="0" shrinkToFit="0" vertical="center" wrapText="1"/>
    </xf>
    <xf borderId="31" fillId="8" fontId="10" numFmtId="0" xfId="0" applyAlignment="1" applyBorder="1" applyFont="1">
      <alignment horizontal="left" readingOrder="0" vertical="center"/>
    </xf>
    <xf borderId="31" fillId="3" fontId="10" numFmtId="0" xfId="0" applyAlignment="1" applyBorder="1" applyFont="1">
      <alignment horizontal="left" vertical="center"/>
    </xf>
    <xf borderId="31" fillId="12" fontId="10" numFmtId="0" xfId="0" applyAlignment="1" applyBorder="1" applyFill="1" applyFont="1">
      <alignment horizontal="left" vertical="center"/>
    </xf>
    <xf borderId="31" fillId="13" fontId="10" numFmtId="0" xfId="0" applyAlignment="1" applyBorder="1" applyFill="1" applyFont="1">
      <alignment horizontal="left" vertical="center"/>
    </xf>
    <xf borderId="31" fillId="0" fontId="10" numFmtId="2" xfId="0" applyAlignment="1" applyBorder="1" applyFont="1" applyNumberFormat="1">
      <alignment horizontal="center" vertical="center"/>
    </xf>
    <xf borderId="31" fillId="11" fontId="12" numFmtId="2" xfId="0" applyAlignment="1" applyBorder="1" applyFont="1" applyNumberFormat="1">
      <alignment horizontal="center" vertical="center"/>
    </xf>
    <xf borderId="31" fillId="0" fontId="10" numFmtId="0" xfId="0" applyAlignment="1" applyBorder="1" applyFont="1">
      <alignment horizontal="left" shrinkToFit="0" vertical="center" wrapText="1"/>
    </xf>
    <xf borderId="31" fillId="8" fontId="10" numFmtId="0" xfId="0" applyAlignment="1" applyBorder="1" applyFont="1">
      <alignment horizontal="left" vertical="center"/>
    </xf>
    <xf borderId="15" fillId="5" fontId="12" numFmtId="0" xfId="0" applyAlignment="1" applyBorder="1" applyFont="1">
      <alignment horizontal="center" vertical="center"/>
    </xf>
    <xf borderId="31" fillId="13" fontId="10" numFmtId="0" xfId="0" applyAlignment="1" applyBorder="1" applyFont="1">
      <alignment horizontal="left" readingOrder="0" vertical="center"/>
    </xf>
    <xf borderId="31" fillId="12" fontId="10" numFmtId="0" xfId="0" applyAlignment="1" applyBorder="1" applyFont="1">
      <alignment horizontal="left" readingOrder="0" vertical="center"/>
    </xf>
    <xf borderId="31" fillId="11" fontId="12" numFmtId="0" xfId="0" applyAlignment="1" applyBorder="1" applyFont="1">
      <alignment horizontal="left" vertical="center"/>
    </xf>
    <xf borderId="31" fillId="14" fontId="10" numFmtId="0" xfId="0" applyAlignment="1" applyBorder="1" applyFill="1" applyFont="1">
      <alignment horizontal="left" shrinkToFit="0" vertical="center" wrapText="1"/>
    </xf>
    <xf borderId="33" fillId="15" fontId="10" numFmtId="0" xfId="0" applyAlignment="1" applyBorder="1" applyFill="1" applyFont="1">
      <alignment horizontal="left" shrinkToFit="0" vertical="center" wrapText="1"/>
    </xf>
    <xf borderId="33" fillId="0" fontId="10" numFmtId="2" xfId="0" applyAlignment="1" applyBorder="1" applyFont="1" applyNumberFormat="1">
      <alignment horizontal="left" vertical="center"/>
    </xf>
    <xf borderId="0" fillId="0" fontId="10" numFmtId="0" xfId="0" applyFont="1"/>
    <xf borderId="0" fillId="0" fontId="11" numFmtId="0" xfId="0" applyAlignment="1" applyFont="1">
      <alignment vertical="center"/>
    </xf>
    <xf borderId="15" fillId="6" fontId="12" numFmtId="0" xfId="0" applyAlignment="1" applyBorder="1" applyFont="1">
      <alignment horizontal="center"/>
    </xf>
    <xf borderId="31" fillId="16" fontId="14" numFmtId="0" xfId="0" applyAlignment="1" applyBorder="1" applyFill="1" applyFont="1">
      <alignment horizontal="center" shrinkToFit="0" vertical="center" wrapText="1"/>
    </xf>
    <xf borderId="31" fillId="0" fontId="10" numFmtId="16" xfId="0" applyAlignment="1" applyBorder="1" applyFont="1" applyNumberFormat="1">
      <alignment horizontal="center" shrinkToFit="0" vertical="center" wrapText="1"/>
    </xf>
    <xf borderId="31" fillId="0" fontId="10" numFmtId="0" xfId="0" applyAlignment="1" applyBorder="1" applyFont="1">
      <alignment horizontal="center" shrinkToFit="0" vertical="center" wrapText="1"/>
    </xf>
    <xf borderId="31" fillId="0" fontId="10" numFmtId="0" xfId="0" applyBorder="1" applyFont="1"/>
    <xf borderId="31" fillId="0" fontId="10" numFmtId="16" xfId="0" applyAlignment="1" applyBorder="1" applyFont="1" applyNumberFormat="1">
      <alignment shrinkToFit="0" vertical="center" wrapText="1"/>
    </xf>
    <xf borderId="31" fillId="0" fontId="10" numFmtId="0" xfId="0" applyAlignment="1" applyBorder="1" applyFont="1">
      <alignment shrinkToFit="0" vertical="center" wrapText="1"/>
    </xf>
    <xf borderId="31" fillId="16" fontId="14" numFmtId="0" xfId="0" applyBorder="1" applyFont="1"/>
    <xf borderId="31" fillId="16" fontId="10" numFmtId="0" xfId="0" applyBorder="1" applyFont="1"/>
    <xf borderId="0" fillId="0" fontId="10" numFmtId="0" xfId="0" applyAlignment="1" applyFont="1">
      <alignment horizontal="left" shrinkToFit="0" vertical="top" wrapText="1"/>
    </xf>
    <xf borderId="0" fillId="0" fontId="10" numFmtId="0" xfId="0" applyAlignment="1" applyFont="1">
      <alignment horizontal="left" vertical="top"/>
    </xf>
    <xf borderId="2" fillId="11" fontId="15" numFmtId="0" xfId="0" applyAlignment="1" applyBorder="1" applyFont="1">
      <alignment horizontal="center" vertical="center"/>
    </xf>
    <xf borderId="15" fillId="6" fontId="12" numFmtId="0" xfId="0" applyAlignment="1" applyBorder="1" applyFont="1">
      <alignment horizontal="left" vertical="center"/>
    </xf>
    <xf borderId="31" fillId="6" fontId="12" numFmtId="0" xfId="0" applyAlignment="1" applyBorder="1" applyFont="1">
      <alignment horizontal="left" vertical="center"/>
    </xf>
    <xf borderId="31" fillId="6" fontId="13" numFmtId="0" xfId="0" applyAlignment="1" applyBorder="1" applyFont="1">
      <alignment horizontal="left" vertical="center"/>
    </xf>
    <xf borderId="31" fillId="0" fontId="10" numFmtId="0" xfId="0" applyAlignment="1" applyBorder="1" applyFont="1">
      <alignment horizontal="center" shrinkToFit="0" vertical="top" wrapText="1"/>
    </xf>
    <xf borderId="15" fillId="17" fontId="14" numFmtId="0" xfId="0" applyAlignment="1" applyBorder="1" applyFill="1" applyFont="1">
      <alignment vertical="center"/>
    </xf>
    <xf borderId="31" fillId="17" fontId="14" numFmtId="0" xfId="0" applyAlignment="1" applyBorder="1" applyFont="1">
      <alignment vertical="center"/>
    </xf>
    <xf borderId="15" fillId="18" fontId="10" numFmtId="0" xfId="0" applyAlignment="1" applyBorder="1" applyFill="1" applyFont="1">
      <alignment horizontal="left" shrinkToFit="0" vertical="top" wrapText="1"/>
    </xf>
    <xf borderId="31" fillId="18" fontId="10" numFmtId="0" xfId="0" applyAlignment="1" applyBorder="1" applyFont="1">
      <alignment shrinkToFit="0" vertical="top" wrapText="1"/>
    </xf>
    <xf borderId="31" fillId="0" fontId="10" numFmtId="0" xfId="0" applyAlignment="1" applyBorder="1" applyFont="1">
      <alignment horizontal="left" shrinkToFit="0" vertical="top" wrapText="1"/>
    </xf>
    <xf quotePrefix="1" borderId="31" fillId="0" fontId="10" numFmtId="0" xfId="0" applyAlignment="1" applyBorder="1" applyFont="1">
      <alignment horizontal="left" shrinkToFit="0" vertical="top" wrapText="1"/>
    </xf>
    <xf borderId="31" fillId="0" fontId="10" numFmtId="0" xfId="0" applyAlignment="1" applyBorder="1" applyFont="1">
      <alignment horizontal="left" readingOrder="0" shrinkToFit="0" vertical="top" wrapText="1"/>
    </xf>
    <xf borderId="31" fillId="0" fontId="10" numFmtId="0" xfId="0" applyAlignment="1" applyBorder="1" applyFont="1">
      <alignment shrinkToFit="0" vertical="top" wrapText="1"/>
    </xf>
    <xf borderId="31" fillId="19" fontId="10" numFmtId="0" xfId="0" applyAlignment="1" applyBorder="1" applyFill="1" applyFont="1">
      <alignment horizontal="left" shrinkToFit="0" vertical="top" wrapText="1"/>
    </xf>
    <xf borderId="31" fillId="0" fontId="14" numFmtId="0" xfId="0" applyAlignment="1" applyBorder="1" applyFont="1">
      <alignment horizontal="left" shrinkToFit="0" vertical="top" wrapText="1"/>
    </xf>
    <xf borderId="34" fillId="0" fontId="16" numFmtId="0" xfId="0" applyAlignment="1" applyBorder="1" applyFont="1">
      <alignment shrinkToFit="0" vertical="top" wrapText="1"/>
    </xf>
    <xf borderId="34" fillId="0" fontId="16" numFmtId="0" xfId="0" applyAlignment="1" applyBorder="1" applyFont="1">
      <alignment shrinkToFit="0" wrapText="1"/>
    </xf>
    <xf borderId="15" fillId="0" fontId="14" numFmtId="0" xfId="0" applyAlignment="1" applyBorder="1" applyFont="1">
      <alignment horizontal="left" vertical="center"/>
    </xf>
    <xf borderId="31" fillId="0" fontId="14" numFmtId="0" xfId="0" applyAlignment="1" applyBorder="1" applyFont="1">
      <alignment vertical="center"/>
    </xf>
    <xf borderId="15" fillId="0" fontId="10" numFmtId="0" xfId="0" applyAlignment="1" applyBorder="1" applyFont="1">
      <alignment horizontal="left" shrinkToFit="0" vertical="top" wrapText="1"/>
    </xf>
    <xf borderId="35" fillId="0" fontId="10" numFmtId="0" xfId="0" applyAlignment="1" applyBorder="1" applyFont="1">
      <alignment horizontal="left" readingOrder="0" shrinkToFit="0" vertical="top" wrapText="1"/>
    </xf>
    <xf borderId="36" fillId="0" fontId="8" numFmtId="0" xfId="0" applyBorder="1" applyFont="1"/>
    <xf borderId="37" fillId="0" fontId="8" numFmtId="0" xfId="0" applyBorder="1" applyFont="1"/>
    <xf borderId="15" fillId="17" fontId="14" numFmtId="0" xfId="0" applyAlignment="1" applyBorder="1" applyFont="1">
      <alignment horizontal="left" vertical="center"/>
    </xf>
    <xf borderId="31" fillId="17" fontId="14" numFmtId="0" xfId="0" applyAlignment="1" applyBorder="1" applyFont="1">
      <alignment readingOrder="0" vertical="center"/>
    </xf>
    <xf borderId="0" fillId="0" fontId="10" numFmtId="0" xfId="0" applyAlignment="1" applyFont="1">
      <alignment horizontal="left" readingOrder="0" vertical="top"/>
    </xf>
    <xf borderId="35" fillId="0" fontId="10" numFmtId="0" xfId="0" applyAlignment="1" applyBorder="1" applyFont="1">
      <alignment horizontal="left" shrinkToFit="0" vertical="top" wrapText="1"/>
    </xf>
    <xf borderId="31" fillId="0" fontId="10" numFmtId="0" xfId="0" applyAlignment="1" applyBorder="1" applyFont="1">
      <alignment horizontal="left" readingOrder="0" shrinkToFit="0" vertical="top" wrapText="1"/>
    </xf>
    <xf quotePrefix="1" borderId="31" fillId="0" fontId="10" numFmtId="0" xfId="0" applyAlignment="1" applyBorder="1" applyFont="1">
      <alignment horizontal="left" readingOrder="0" shrinkToFit="0" vertical="top" wrapText="1"/>
    </xf>
    <xf borderId="31" fillId="0" fontId="14" numFmtId="0" xfId="0" applyAlignment="1" applyBorder="1" applyFont="1">
      <alignment horizontal="left" readingOrder="0" shrinkToFit="0" vertical="top" wrapText="1"/>
    </xf>
    <xf quotePrefix="1" borderId="31" fillId="0" fontId="14" numFmtId="0" xfId="0" applyAlignment="1" applyBorder="1" applyFont="1">
      <alignment horizontal="left" shrinkToFit="0" vertical="top" wrapText="1"/>
    </xf>
  </cellXfs>
  <cellStyles count="1">
    <cellStyle xfId="0" name="Normal" builtinId="0"/>
  </cellStyles>
  <dxfs count="3">
    <dxf>
      <font>
        <b/>
        <color theme="1"/>
      </font>
      <fill>
        <patternFill patternType="solid">
          <fgColor rgb="FF7F7F7F"/>
          <bgColor rgb="FF7F7F7F"/>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xdr:row>
      <xdr:rowOff>142875</xdr:rowOff>
    </xdr:from>
    <xdr:ext cx="2286000" cy="914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2" max="2" width="81.33"/>
    <col customWidth="1" min="6" max="6" width="15.67"/>
  </cols>
  <sheetData>
    <row r="3">
      <c r="B3" s="1" t="s">
        <v>0</v>
      </c>
      <c r="C3" s="1" t="s">
        <v>1</v>
      </c>
      <c r="F3" s="2" t="s">
        <v>2</v>
      </c>
    </row>
    <row r="4">
      <c r="B4" s="1" t="s">
        <v>3</v>
      </c>
      <c r="C4" s="1" t="s">
        <v>4</v>
      </c>
      <c r="F4" s="3" t="s">
        <v>5</v>
      </c>
    </row>
    <row r="5">
      <c r="B5" s="1" t="s">
        <v>6</v>
      </c>
      <c r="C5" s="1" t="s">
        <v>7</v>
      </c>
      <c r="F5" s="4" t="s">
        <v>8</v>
      </c>
    </row>
    <row r="6">
      <c r="B6" s="1" t="s">
        <v>9</v>
      </c>
      <c r="F6" s="5" t="s">
        <v>10</v>
      </c>
    </row>
    <row r="7">
      <c r="B7" s="1" t="s">
        <v>11</v>
      </c>
    </row>
    <row r="8">
      <c r="B8" s="1" t="s">
        <v>12</v>
      </c>
    </row>
    <row r="9">
      <c r="B9" s="1" t="s">
        <v>13</v>
      </c>
    </row>
    <row r="10">
      <c r="B10" s="1" t="s">
        <v>14</v>
      </c>
    </row>
    <row r="11">
      <c r="B11" s="1" t="s">
        <v>15</v>
      </c>
    </row>
    <row r="12">
      <c r="B12" s="1" t="s">
        <v>16</v>
      </c>
    </row>
    <row r="13">
      <c r="B13" s="1" t="s">
        <v>17</v>
      </c>
    </row>
    <row r="14">
      <c r="B14" s="1" t="s">
        <v>18</v>
      </c>
    </row>
    <row r="15">
      <c r="B15" s="1" t="s">
        <v>19</v>
      </c>
    </row>
    <row r="16">
      <c r="B16" s="1" t="s">
        <v>20</v>
      </c>
    </row>
    <row r="17">
      <c r="B17" s="1" t="s">
        <v>21</v>
      </c>
    </row>
    <row r="18">
      <c r="B18" s="1" t="s">
        <v>22</v>
      </c>
    </row>
    <row r="19">
      <c r="B19" s="1" t="s">
        <v>23</v>
      </c>
    </row>
    <row r="20">
      <c r="B20" s="1" t="s">
        <v>24</v>
      </c>
    </row>
    <row r="21">
      <c r="B21" s="1" t="s">
        <v>25</v>
      </c>
    </row>
    <row r="22">
      <c r="B22" s="1" t="s">
        <v>26</v>
      </c>
    </row>
    <row r="23">
      <c r="B23" s="1" t="s">
        <v>27</v>
      </c>
    </row>
    <row r="24">
      <c r="B24" s="1" t="s">
        <v>28</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3.22"/>
    <col customWidth="1" min="2" max="20" width="8.78"/>
    <col customWidth="1" min="21" max="26" width="8.56"/>
  </cols>
  <sheetData>
    <row r="1" ht="20.25" customHeight="1">
      <c r="A1" s="6"/>
      <c r="B1" s="6"/>
      <c r="C1" s="6"/>
      <c r="D1" s="6"/>
      <c r="E1" s="6"/>
      <c r="F1" s="6"/>
      <c r="G1" s="6"/>
      <c r="H1" s="6"/>
      <c r="I1" s="6"/>
      <c r="J1" s="6"/>
      <c r="K1" s="6"/>
      <c r="L1" s="6"/>
      <c r="M1" s="6"/>
      <c r="N1" s="6"/>
      <c r="O1" s="6"/>
      <c r="P1" s="6"/>
      <c r="Q1" s="6"/>
      <c r="R1" s="6"/>
      <c r="S1" s="6"/>
      <c r="T1" s="6"/>
      <c r="U1" s="6"/>
      <c r="V1" s="6"/>
      <c r="W1" s="6"/>
      <c r="X1" s="6"/>
      <c r="Y1" s="6"/>
      <c r="Z1" s="6"/>
    </row>
    <row r="2" ht="20.25" customHeight="1">
      <c r="A2" s="6"/>
      <c r="B2" s="6"/>
      <c r="C2" s="6"/>
      <c r="D2" s="6"/>
      <c r="E2" s="6"/>
      <c r="F2" s="6"/>
      <c r="G2" s="6"/>
      <c r="H2" s="6"/>
      <c r="I2" s="6"/>
      <c r="J2" s="6"/>
      <c r="K2" s="6"/>
      <c r="L2" s="6"/>
      <c r="M2" s="6"/>
      <c r="N2" s="6"/>
      <c r="O2" s="6"/>
      <c r="P2" s="6"/>
      <c r="Q2" s="6"/>
      <c r="R2" s="6"/>
      <c r="S2" s="6"/>
      <c r="T2" s="6"/>
      <c r="U2" s="6"/>
      <c r="V2" s="6"/>
      <c r="W2" s="6"/>
      <c r="X2" s="6"/>
      <c r="Y2" s="6"/>
      <c r="Z2" s="6"/>
    </row>
    <row r="3" ht="20.25" customHeight="1">
      <c r="A3" s="6"/>
      <c r="B3" s="6"/>
      <c r="C3" s="6"/>
      <c r="D3" s="6"/>
      <c r="E3" s="6"/>
      <c r="F3" s="6"/>
      <c r="G3" s="6"/>
      <c r="H3" s="6"/>
      <c r="I3" s="6"/>
      <c r="J3" s="6"/>
      <c r="K3" s="6"/>
      <c r="L3" s="6"/>
      <c r="M3" s="6"/>
      <c r="N3" s="6"/>
      <c r="O3" s="6"/>
      <c r="P3" s="6"/>
      <c r="Q3" s="6"/>
      <c r="R3" s="6"/>
      <c r="S3" s="6"/>
      <c r="T3" s="6"/>
      <c r="U3" s="6"/>
      <c r="V3" s="6"/>
      <c r="W3" s="6"/>
      <c r="X3" s="6"/>
      <c r="Y3" s="6"/>
      <c r="Z3" s="6"/>
    </row>
    <row r="4" ht="20.25" customHeight="1">
      <c r="A4" s="6"/>
      <c r="B4" s="6"/>
      <c r="C4" s="6"/>
      <c r="D4" s="6"/>
      <c r="E4" s="6"/>
      <c r="F4" s="6"/>
      <c r="G4" s="6"/>
      <c r="H4" s="6"/>
      <c r="I4" s="6"/>
      <c r="J4" s="6"/>
      <c r="K4" s="6"/>
      <c r="L4" s="6"/>
      <c r="M4" s="6"/>
      <c r="N4" s="6"/>
      <c r="O4" s="6"/>
      <c r="P4" s="6"/>
      <c r="Q4" s="6"/>
      <c r="R4" s="6"/>
      <c r="S4" s="6"/>
      <c r="T4" s="6"/>
      <c r="U4" s="6"/>
      <c r="V4" s="6"/>
      <c r="W4" s="6"/>
      <c r="X4" s="6"/>
      <c r="Y4" s="6"/>
      <c r="Z4" s="6"/>
    </row>
    <row r="5" ht="20.25" customHeight="1">
      <c r="A5" s="6"/>
      <c r="B5" s="6"/>
      <c r="C5" s="6"/>
      <c r="D5" s="6"/>
      <c r="E5" s="6"/>
      <c r="F5" s="6"/>
      <c r="G5" s="6"/>
      <c r="H5" s="6"/>
      <c r="I5" s="6"/>
      <c r="J5" s="6"/>
      <c r="K5" s="6"/>
      <c r="L5" s="6"/>
      <c r="M5" s="6"/>
      <c r="N5" s="6"/>
      <c r="O5" s="6"/>
      <c r="P5" s="6"/>
      <c r="Q5" s="6"/>
      <c r="R5" s="6"/>
      <c r="S5" s="6"/>
      <c r="T5" s="6"/>
      <c r="U5" s="6"/>
      <c r="V5" s="6"/>
      <c r="W5" s="6"/>
      <c r="X5" s="6"/>
      <c r="Y5" s="6"/>
      <c r="Z5" s="6"/>
    </row>
    <row r="6" ht="20.25" customHeight="1">
      <c r="A6" s="6"/>
      <c r="B6" s="6"/>
      <c r="C6" s="6"/>
      <c r="D6" s="6"/>
      <c r="E6" s="6"/>
      <c r="F6" s="6"/>
      <c r="G6" s="6"/>
      <c r="H6" s="6"/>
      <c r="I6" s="6"/>
      <c r="J6" s="6"/>
      <c r="K6" s="6"/>
      <c r="L6" s="6"/>
      <c r="M6" s="6"/>
      <c r="N6" s="6"/>
      <c r="O6" s="6"/>
      <c r="P6" s="6"/>
      <c r="Q6" s="6"/>
      <c r="R6" s="6"/>
      <c r="S6" s="6"/>
      <c r="T6" s="6"/>
      <c r="U6" s="6"/>
      <c r="V6" s="6"/>
      <c r="W6" s="6"/>
      <c r="X6" s="6"/>
      <c r="Y6" s="6"/>
      <c r="Z6" s="6"/>
    </row>
    <row r="7" ht="20.25" customHeight="1">
      <c r="A7" s="6"/>
      <c r="B7" s="6"/>
      <c r="C7" s="6"/>
      <c r="D7" s="6"/>
      <c r="E7" s="6"/>
      <c r="F7" s="6"/>
      <c r="G7" s="6"/>
      <c r="H7" s="6"/>
      <c r="I7" s="6"/>
      <c r="J7" s="6"/>
      <c r="K7" s="6"/>
      <c r="L7" s="6"/>
      <c r="M7" s="6"/>
      <c r="N7" s="6"/>
      <c r="O7" s="6"/>
      <c r="P7" s="6"/>
      <c r="Q7" s="6"/>
      <c r="R7" s="6"/>
      <c r="S7" s="6"/>
      <c r="T7" s="6"/>
      <c r="U7" s="6"/>
      <c r="V7" s="6"/>
      <c r="W7" s="6"/>
      <c r="X7" s="6"/>
      <c r="Y7" s="6"/>
      <c r="Z7" s="6"/>
    </row>
    <row r="8" ht="20.25" customHeight="1">
      <c r="A8" s="6"/>
      <c r="B8" s="7" t="s">
        <v>29</v>
      </c>
      <c r="C8" s="8"/>
      <c r="D8" s="8"/>
      <c r="E8" s="8"/>
      <c r="F8" s="8"/>
      <c r="G8" s="8"/>
      <c r="H8" s="8"/>
      <c r="I8" s="8"/>
      <c r="J8" s="8"/>
      <c r="K8" s="6"/>
      <c r="L8" s="7" t="s">
        <v>30</v>
      </c>
      <c r="M8" s="8"/>
      <c r="N8" s="8"/>
      <c r="O8" s="8"/>
      <c r="P8" s="8"/>
      <c r="Q8" s="8"/>
      <c r="R8" s="8"/>
      <c r="S8" s="8"/>
      <c r="T8" s="8"/>
      <c r="U8" s="6"/>
      <c r="V8" s="6"/>
      <c r="W8" s="6"/>
      <c r="X8" s="6"/>
      <c r="Y8" s="6"/>
      <c r="Z8" s="6"/>
    </row>
    <row r="9" ht="20.25" customHeight="1">
      <c r="A9" s="6"/>
      <c r="B9" s="6"/>
      <c r="C9" s="6"/>
      <c r="D9" s="6"/>
      <c r="E9" s="6"/>
      <c r="F9" s="6"/>
      <c r="G9" s="6"/>
      <c r="H9" s="6"/>
      <c r="I9" s="6"/>
      <c r="J9" s="6"/>
      <c r="K9" s="6"/>
      <c r="L9" s="6"/>
      <c r="M9" s="6"/>
      <c r="N9" s="6"/>
      <c r="O9" s="6"/>
      <c r="P9" s="6"/>
      <c r="Q9" s="6"/>
      <c r="R9" s="6"/>
      <c r="S9" s="6"/>
      <c r="T9" s="6"/>
      <c r="U9" s="6"/>
      <c r="V9" s="6"/>
      <c r="W9" s="6"/>
      <c r="X9" s="6"/>
      <c r="Y9" s="6"/>
      <c r="Z9" s="6"/>
    </row>
    <row r="10" ht="86.25" customHeight="1">
      <c r="A10" s="6"/>
      <c r="B10" s="9" t="s">
        <v>31</v>
      </c>
      <c r="C10" s="10"/>
      <c r="D10" s="10"/>
      <c r="E10" s="10"/>
      <c r="F10" s="10"/>
      <c r="G10" s="10"/>
      <c r="H10" s="10"/>
      <c r="I10" s="10"/>
      <c r="J10" s="11"/>
      <c r="K10" s="6"/>
      <c r="L10" s="9" t="s">
        <v>32</v>
      </c>
      <c r="M10" s="10"/>
      <c r="N10" s="10"/>
      <c r="O10" s="10"/>
      <c r="P10" s="10"/>
      <c r="Q10" s="10"/>
      <c r="R10" s="10"/>
      <c r="S10" s="10"/>
      <c r="T10" s="11"/>
      <c r="U10" s="6"/>
      <c r="V10" s="6"/>
      <c r="W10" s="6"/>
      <c r="X10" s="6"/>
      <c r="Y10" s="6"/>
      <c r="Z10" s="6"/>
    </row>
    <row r="11" ht="66.0" customHeight="1">
      <c r="A11" s="6"/>
      <c r="B11" s="12"/>
      <c r="C11" s="13"/>
      <c r="D11" s="13"/>
      <c r="E11" s="13"/>
      <c r="F11" s="13"/>
      <c r="G11" s="13"/>
      <c r="H11" s="13"/>
      <c r="I11" s="13"/>
      <c r="J11" s="14"/>
      <c r="K11" s="6"/>
      <c r="L11" s="12"/>
      <c r="M11" s="13"/>
      <c r="N11" s="13"/>
      <c r="O11" s="13"/>
      <c r="P11" s="13"/>
      <c r="Q11" s="13"/>
      <c r="R11" s="13"/>
      <c r="S11" s="13"/>
      <c r="T11" s="14"/>
      <c r="U11" s="6"/>
      <c r="V11" s="6"/>
      <c r="W11" s="6"/>
      <c r="X11" s="6"/>
      <c r="Y11" s="6"/>
      <c r="Z11" s="6"/>
    </row>
    <row r="12" ht="21.0" customHeight="1">
      <c r="A12" s="6"/>
      <c r="B12" s="15"/>
      <c r="C12" s="15"/>
      <c r="D12" s="15"/>
      <c r="E12" s="15"/>
      <c r="F12" s="15"/>
      <c r="G12" s="15"/>
      <c r="H12" s="15"/>
      <c r="I12" s="15"/>
      <c r="J12" s="15"/>
      <c r="K12" s="6"/>
      <c r="L12" s="16"/>
      <c r="M12" s="8"/>
      <c r="N12" s="8"/>
      <c r="O12" s="8"/>
      <c r="P12" s="17"/>
      <c r="Q12" s="8"/>
      <c r="R12" s="8"/>
      <c r="S12" s="8"/>
      <c r="T12" s="8"/>
      <c r="U12" s="6"/>
      <c r="V12" s="6"/>
      <c r="W12" s="6"/>
      <c r="X12" s="6"/>
      <c r="Y12" s="6"/>
      <c r="Z12" s="6"/>
    </row>
    <row r="13" ht="20.25" customHeight="1">
      <c r="A13" s="6"/>
      <c r="B13" s="7" t="s">
        <v>33</v>
      </c>
      <c r="C13" s="8"/>
      <c r="D13" s="8"/>
      <c r="E13" s="8"/>
      <c r="F13" s="8"/>
      <c r="G13" s="8"/>
      <c r="H13" s="8"/>
      <c r="I13" s="8"/>
      <c r="J13" s="8"/>
      <c r="K13" s="6"/>
      <c r="L13" s="7" t="s">
        <v>34</v>
      </c>
      <c r="M13" s="8"/>
      <c r="N13" s="8"/>
      <c r="O13" s="8"/>
      <c r="P13" s="8"/>
      <c r="Q13" s="8"/>
      <c r="R13" s="8"/>
      <c r="S13" s="8"/>
      <c r="T13" s="8"/>
      <c r="U13" s="6"/>
      <c r="V13" s="6"/>
      <c r="W13" s="6"/>
      <c r="X13" s="6"/>
      <c r="Y13" s="6"/>
      <c r="Z13" s="6"/>
    </row>
    <row r="14" ht="20.2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20.25" customHeight="1">
      <c r="A15" s="6"/>
      <c r="B15" s="18" t="s">
        <v>35</v>
      </c>
      <c r="C15" s="19"/>
      <c r="D15" s="20"/>
      <c r="E15" s="21" t="s">
        <v>36</v>
      </c>
      <c r="F15" s="22"/>
      <c r="G15" s="22"/>
      <c r="H15" s="22"/>
      <c r="I15" s="22"/>
      <c r="J15" s="23"/>
      <c r="K15" s="6"/>
      <c r="L15" s="24" t="s">
        <v>37</v>
      </c>
      <c r="M15" s="25"/>
      <c r="N15" s="25"/>
      <c r="O15" s="26"/>
      <c r="P15" s="27" t="s">
        <v>38</v>
      </c>
      <c r="Q15" s="25"/>
      <c r="R15" s="25"/>
      <c r="S15" s="25"/>
      <c r="T15" s="26"/>
      <c r="U15" s="6"/>
      <c r="V15" s="6"/>
      <c r="W15" s="6"/>
      <c r="X15" s="6"/>
      <c r="Y15" s="6"/>
      <c r="Z15" s="6"/>
    </row>
    <row r="16" ht="20.25" customHeight="1">
      <c r="A16" s="6"/>
      <c r="B16" s="28"/>
      <c r="C16" s="29"/>
      <c r="D16" s="30"/>
      <c r="E16" s="31" t="s">
        <v>39</v>
      </c>
      <c r="F16" s="32"/>
      <c r="G16" s="33" t="s">
        <v>40</v>
      </c>
      <c r="H16" s="32"/>
      <c r="I16" s="33" t="s">
        <v>41</v>
      </c>
      <c r="J16" s="34"/>
      <c r="K16" s="6"/>
      <c r="L16" s="24" t="s">
        <v>42</v>
      </c>
      <c r="M16" s="25"/>
      <c r="N16" s="25"/>
      <c r="O16" s="26"/>
      <c r="P16" s="27" t="s">
        <v>43</v>
      </c>
      <c r="Q16" s="25"/>
      <c r="R16" s="25"/>
      <c r="S16" s="25"/>
      <c r="T16" s="26"/>
      <c r="U16" s="6"/>
      <c r="V16" s="6"/>
      <c r="W16" s="6"/>
      <c r="X16" s="6"/>
      <c r="Y16" s="6"/>
      <c r="Z16" s="6"/>
    </row>
    <row r="17" ht="20.25" customHeight="1">
      <c r="A17" s="6"/>
      <c r="B17" s="28"/>
      <c r="C17" s="35" t="s">
        <v>39</v>
      </c>
      <c r="D17" s="36"/>
      <c r="E17" s="37" t="s">
        <v>44</v>
      </c>
      <c r="F17" s="38"/>
      <c r="G17" s="39" t="s">
        <v>44</v>
      </c>
      <c r="H17" s="38"/>
      <c r="I17" s="40" t="s">
        <v>45</v>
      </c>
      <c r="J17" s="38"/>
      <c r="K17" s="6"/>
      <c r="L17" s="24" t="s">
        <v>46</v>
      </c>
      <c r="M17" s="25"/>
      <c r="N17" s="25"/>
      <c r="O17" s="26"/>
      <c r="P17" s="27" t="s">
        <v>47</v>
      </c>
      <c r="Q17" s="25"/>
      <c r="R17" s="25"/>
      <c r="S17" s="25"/>
      <c r="T17" s="26"/>
      <c r="U17" s="6"/>
      <c r="V17" s="6"/>
      <c r="W17" s="6"/>
      <c r="X17" s="6"/>
      <c r="Y17" s="6"/>
      <c r="Z17" s="6"/>
    </row>
    <row r="18" ht="20.25" customHeight="1">
      <c r="A18" s="6"/>
      <c r="B18" s="28"/>
      <c r="C18" s="35" t="s">
        <v>40</v>
      </c>
      <c r="D18" s="36"/>
      <c r="E18" s="41" t="s">
        <v>44</v>
      </c>
      <c r="F18" s="26"/>
      <c r="G18" s="42" t="s">
        <v>45</v>
      </c>
      <c r="H18" s="26"/>
      <c r="I18" s="43" t="s">
        <v>48</v>
      </c>
      <c r="J18" s="26"/>
      <c r="K18" s="6"/>
      <c r="L18" s="24" t="s">
        <v>10</v>
      </c>
      <c r="M18" s="25"/>
      <c r="N18" s="25"/>
      <c r="O18" s="26"/>
      <c r="P18" s="27" t="s">
        <v>49</v>
      </c>
      <c r="Q18" s="25"/>
      <c r="R18" s="25"/>
      <c r="S18" s="25"/>
      <c r="T18" s="26"/>
      <c r="U18" s="6"/>
      <c r="V18" s="6"/>
      <c r="W18" s="6"/>
      <c r="X18" s="6"/>
      <c r="Y18" s="6"/>
      <c r="Z18" s="6"/>
    </row>
    <row r="19" ht="20.25" customHeight="1">
      <c r="A19" s="6"/>
      <c r="B19" s="44"/>
      <c r="C19" s="33" t="s">
        <v>41</v>
      </c>
      <c r="D19" s="34"/>
      <c r="E19" s="45" t="s">
        <v>45</v>
      </c>
      <c r="F19" s="26"/>
      <c r="G19" s="46" t="s">
        <v>48</v>
      </c>
      <c r="H19" s="26"/>
      <c r="I19" s="46" t="s">
        <v>48</v>
      </c>
      <c r="J19" s="26"/>
      <c r="K19" s="6"/>
      <c r="L19" s="6"/>
      <c r="M19" s="6"/>
      <c r="N19" s="6"/>
      <c r="O19" s="6"/>
      <c r="P19" s="6"/>
      <c r="Q19" s="6"/>
      <c r="R19" s="6"/>
      <c r="S19" s="6"/>
      <c r="T19" s="6"/>
      <c r="U19" s="6"/>
      <c r="V19" s="6"/>
      <c r="W19" s="6"/>
      <c r="X19" s="6"/>
      <c r="Y19" s="6"/>
      <c r="Z19" s="6"/>
    </row>
    <row r="20" ht="20.2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20.25" customHeight="1">
      <c r="A21" s="6"/>
      <c r="B21" s="7" t="s">
        <v>50</v>
      </c>
      <c r="C21" s="8"/>
      <c r="D21" s="8"/>
      <c r="E21" s="8"/>
      <c r="F21" s="8"/>
      <c r="G21" s="8"/>
      <c r="H21" s="8"/>
      <c r="I21" s="8"/>
      <c r="J21" s="8"/>
      <c r="K21" s="6"/>
      <c r="L21" s="7" t="s">
        <v>51</v>
      </c>
      <c r="M21" s="8"/>
      <c r="N21" s="8"/>
      <c r="O21" s="8"/>
      <c r="P21" s="8"/>
      <c r="Q21" s="8"/>
      <c r="R21" s="8"/>
      <c r="S21" s="8"/>
      <c r="T21" s="8"/>
      <c r="U21" s="6"/>
      <c r="V21" s="6"/>
      <c r="W21" s="6"/>
      <c r="X21" s="6"/>
      <c r="Y21" s="6"/>
      <c r="Z21" s="6"/>
    </row>
    <row r="22" ht="20.25" customHeight="1">
      <c r="A22" s="6"/>
      <c r="B22" s="16"/>
      <c r="C22" s="8"/>
      <c r="D22" s="8"/>
      <c r="E22" s="8"/>
      <c r="F22" s="17"/>
      <c r="G22" s="8"/>
      <c r="H22" s="8"/>
      <c r="I22" s="8"/>
      <c r="J22" s="8"/>
      <c r="K22" s="6"/>
      <c r="L22" s="6"/>
      <c r="M22" s="6"/>
      <c r="N22" s="6"/>
      <c r="O22" s="6"/>
      <c r="P22" s="6"/>
      <c r="Q22" s="6"/>
      <c r="R22" s="6"/>
      <c r="S22" s="6"/>
      <c r="T22" s="6"/>
      <c r="U22" s="6"/>
      <c r="V22" s="6"/>
      <c r="W22" s="6"/>
      <c r="X22" s="6"/>
      <c r="Y22" s="6"/>
      <c r="Z22" s="6"/>
    </row>
    <row r="23" ht="40.5" customHeight="1">
      <c r="A23" s="6"/>
      <c r="B23" s="47" t="s">
        <v>52</v>
      </c>
      <c r="C23" s="10"/>
      <c r="D23" s="10"/>
      <c r="E23" s="10"/>
      <c r="F23" s="10"/>
      <c r="G23" s="10"/>
      <c r="H23" s="10"/>
      <c r="I23" s="10"/>
      <c r="J23" s="11"/>
      <c r="K23" s="6"/>
      <c r="L23" s="48" t="s">
        <v>53</v>
      </c>
      <c r="M23" s="25"/>
      <c r="N23" s="25"/>
      <c r="O23" s="26"/>
      <c r="P23" s="49" t="s">
        <v>54</v>
      </c>
      <c r="Q23" s="25"/>
      <c r="R23" s="25"/>
      <c r="S23" s="25"/>
      <c r="T23" s="26"/>
      <c r="U23" s="6"/>
      <c r="V23" s="6"/>
      <c r="W23" s="6"/>
      <c r="X23" s="6"/>
      <c r="Y23" s="6"/>
      <c r="Z23" s="6"/>
    </row>
    <row r="24" ht="60.75" customHeight="1">
      <c r="A24" s="6"/>
      <c r="B24" s="12"/>
      <c r="C24" s="13"/>
      <c r="D24" s="13"/>
      <c r="E24" s="13"/>
      <c r="F24" s="13"/>
      <c r="G24" s="13"/>
      <c r="H24" s="13"/>
      <c r="I24" s="13"/>
      <c r="J24" s="14"/>
      <c r="K24" s="6"/>
      <c r="L24" s="48" t="s">
        <v>55</v>
      </c>
      <c r="M24" s="25"/>
      <c r="N24" s="25"/>
      <c r="O24" s="26"/>
      <c r="P24" s="49" t="s">
        <v>56</v>
      </c>
      <c r="Q24" s="25"/>
      <c r="R24" s="25"/>
      <c r="S24" s="25"/>
      <c r="T24" s="26"/>
      <c r="U24" s="6"/>
      <c r="V24" s="6"/>
      <c r="W24" s="6"/>
      <c r="X24" s="6"/>
      <c r="Y24" s="6"/>
      <c r="Z24" s="6"/>
    </row>
    <row r="25" ht="164.25" customHeight="1">
      <c r="A25" s="6"/>
      <c r="B25" s="50"/>
      <c r="C25" s="50"/>
      <c r="D25" s="50"/>
      <c r="E25" s="50"/>
      <c r="F25" s="50"/>
      <c r="G25" s="50"/>
      <c r="H25" s="50"/>
      <c r="I25" s="50"/>
      <c r="J25" s="50"/>
      <c r="K25" s="6"/>
      <c r="L25" s="48" t="s">
        <v>57</v>
      </c>
      <c r="M25" s="25"/>
      <c r="N25" s="25"/>
      <c r="O25" s="26"/>
      <c r="P25" s="51" t="s">
        <v>58</v>
      </c>
      <c r="Q25" s="25"/>
      <c r="R25" s="25"/>
      <c r="S25" s="25"/>
      <c r="T25" s="26"/>
      <c r="U25" s="6"/>
      <c r="V25" s="6"/>
      <c r="W25" s="6"/>
      <c r="X25" s="6"/>
      <c r="Y25" s="6"/>
      <c r="Z25" s="6"/>
    </row>
    <row r="26" ht="146.25" customHeight="1">
      <c r="A26" s="6"/>
      <c r="B26" s="50"/>
      <c r="C26" s="50"/>
      <c r="D26" s="50"/>
      <c r="E26" s="50"/>
      <c r="F26" s="50"/>
      <c r="G26" s="50"/>
      <c r="H26" s="50"/>
      <c r="I26" s="50"/>
      <c r="J26" s="50"/>
      <c r="K26" s="6"/>
      <c r="L26" s="48" t="s">
        <v>59</v>
      </c>
      <c r="M26" s="25"/>
      <c r="N26" s="25"/>
      <c r="O26" s="26"/>
      <c r="P26" s="51" t="s">
        <v>60</v>
      </c>
      <c r="Q26" s="25"/>
      <c r="R26" s="25"/>
      <c r="S26" s="25"/>
      <c r="T26" s="26"/>
      <c r="U26" s="6"/>
      <c r="V26" s="6"/>
      <c r="W26" s="6"/>
      <c r="X26" s="6"/>
      <c r="Y26" s="6"/>
      <c r="Z26" s="6"/>
    </row>
    <row r="27" ht="20.25" customHeight="1">
      <c r="A27" s="6"/>
      <c r="B27" s="50"/>
      <c r="C27" s="50"/>
      <c r="D27" s="50"/>
      <c r="E27" s="50"/>
      <c r="F27" s="50"/>
      <c r="G27" s="50"/>
      <c r="H27" s="50"/>
      <c r="I27" s="50"/>
      <c r="J27" s="50"/>
      <c r="K27" s="6"/>
      <c r="L27" s="48" t="s">
        <v>61</v>
      </c>
      <c r="M27" s="25"/>
      <c r="N27" s="25"/>
      <c r="O27" s="26"/>
      <c r="P27" s="49" t="s">
        <v>62</v>
      </c>
      <c r="Q27" s="25"/>
      <c r="R27" s="25"/>
      <c r="S27" s="25"/>
      <c r="T27" s="26"/>
      <c r="U27" s="6"/>
      <c r="V27" s="6"/>
      <c r="W27" s="6"/>
      <c r="X27" s="6"/>
      <c r="Y27" s="6"/>
      <c r="Z27" s="6"/>
    </row>
    <row r="28" ht="20.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20.25" customHeight="1">
      <c r="A29" s="6"/>
      <c r="B29" s="6"/>
      <c r="C29" s="6"/>
      <c r="D29" s="6"/>
      <c r="E29" s="6"/>
      <c r="F29" s="6"/>
      <c r="G29" s="6"/>
      <c r="H29" s="6"/>
      <c r="I29" s="6"/>
      <c r="J29" s="6"/>
      <c r="K29" s="6"/>
      <c r="L29" s="52" t="s">
        <v>63</v>
      </c>
      <c r="M29" s="8"/>
      <c r="N29" s="8"/>
      <c r="O29" s="8"/>
      <c r="P29" s="8"/>
      <c r="Q29" s="8"/>
      <c r="R29" s="8"/>
      <c r="S29" s="8"/>
      <c r="T29" s="8"/>
      <c r="U29" s="6"/>
      <c r="V29" s="6"/>
      <c r="W29" s="6"/>
      <c r="X29" s="6"/>
      <c r="Y29" s="6"/>
      <c r="Z29" s="6"/>
    </row>
    <row r="30" ht="20.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40.5" customHeight="1">
      <c r="A31" s="6"/>
      <c r="B31" s="6"/>
      <c r="C31" s="6"/>
      <c r="D31" s="6"/>
      <c r="E31" s="6"/>
      <c r="F31" s="6"/>
      <c r="G31" s="6"/>
      <c r="H31" s="6"/>
      <c r="I31" s="6"/>
      <c r="J31" s="6"/>
      <c r="K31" s="6"/>
      <c r="L31" s="53" t="s">
        <v>64</v>
      </c>
      <c r="M31" s="25"/>
      <c r="N31" s="26"/>
      <c r="O31" s="54"/>
      <c r="P31" s="25"/>
      <c r="Q31" s="25"/>
      <c r="R31" s="25"/>
      <c r="S31" s="25"/>
      <c r="T31" s="26"/>
      <c r="U31" s="6"/>
      <c r="V31" s="6"/>
      <c r="W31" s="6"/>
      <c r="X31" s="6"/>
      <c r="Y31" s="6"/>
      <c r="Z31" s="6"/>
    </row>
    <row r="32" ht="40.5" customHeight="1">
      <c r="A32" s="6"/>
      <c r="B32" s="6"/>
      <c r="C32" s="6"/>
      <c r="D32" s="6"/>
      <c r="E32" s="6"/>
      <c r="F32" s="6"/>
      <c r="G32" s="6"/>
      <c r="H32" s="6"/>
      <c r="I32" s="6"/>
      <c r="J32" s="6"/>
      <c r="K32" s="6"/>
      <c r="L32" s="53" t="s">
        <v>65</v>
      </c>
      <c r="M32" s="25"/>
      <c r="N32" s="26"/>
      <c r="O32" s="54"/>
      <c r="P32" s="25"/>
      <c r="Q32" s="25"/>
      <c r="R32" s="25"/>
      <c r="S32" s="25"/>
      <c r="T32" s="26"/>
      <c r="U32" s="6"/>
      <c r="V32" s="6"/>
      <c r="W32" s="6"/>
      <c r="X32" s="6"/>
      <c r="Y32" s="6"/>
      <c r="Z32" s="6"/>
    </row>
    <row r="33" ht="40.5" customHeight="1">
      <c r="A33" s="6"/>
      <c r="B33" s="6"/>
      <c r="C33" s="6"/>
      <c r="D33" s="6"/>
      <c r="E33" s="6"/>
      <c r="F33" s="6"/>
      <c r="G33" s="6"/>
      <c r="H33" s="6"/>
      <c r="I33" s="6"/>
      <c r="J33" s="6"/>
      <c r="K33" s="6"/>
      <c r="L33" s="53" t="s">
        <v>66</v>
      </c>
      <c r="M33" s="25"/>
      <c r="N33" s="26"/>
      <c r="O33" s="54"/>
      <c r="P33" s="25"/>
      <c r="Q33" s="25"/>
      <c r="R33" s="25"/>
      <c r="S33" s="25"/>
      <c r="T33" s="26"/>
      <c r="U33" s="6"/>
      <c r="V33" s="6"/>
      <c r="W33" s="6"/>
      <c r="X33" s="6"/>
      <c r="Y33" s="6"/>
      <c r="Z33" s="6"/>
    </row>
    <row r="34" ht="40.5" customHeight="1">
      <c r="A34" s="6"/>
      <c r="B34" s="6"/>
      <c r="C34" s="6"/>
      <c r="D34" s="6"/>
      <c r="E34" s="6"/>
      <c r="F34" s="6"/>
      <c r="G34" s="6"/>
      <c r="H34" s="6"/>
      <c r="I34" s="6"/>
      <c r="J34" s="6"/>
      <c r="K34" s="6"/>
      <c r="L34" s="53" t="s">
        <v>67</v>
      </c>
      <c r="M34" s="25"/>
      <c r="N34" s="26"/>
      <c r="O34" s="54"/>
      <c r="P34" s="25"/>
      <c r="Q34" s="25"/>
      <c r="R34" s="25"/>
      <c r="S34" s="25"/>
      <c r="T34" s="26"/>
      <c r="U34" s="6"/>
      <c r="V34" s="6"/>
      <c r="W34" s="6"/>
      <c r="X34" s="6"/>
      <c r="Y34" s="6"/>
      <c r="Z34" s="6"/>
    </row>
    <row r="35" ht="40.5" customHeight="1">
      <c r="A35" s="6"/>
      <c r="B35" s="6"/>
      <c r="C35" s="6"/>
      <c r="D35" s="6"/>
      <c r="E35" s="6"/>
      <c r="F35" s="6"/>
      <c r="G35" s="6"/>
      <c r="H35" s="6"/>
      <c r="I35" s="6"/>
      <c r="J35" s="6"/>
      <c r="K35" s="6"/>
      <c r="L35" s="53" t="s">
        <v>68</v>
      </c>
      <c r="M35" s="25"/>
      <c r="N35" s="26"/>
      <c r="O35" s="54"/>
      <c r="P35" s="25"/>
      <c r="Q35" s="25"/>
      <c r="R35" s="25"/>
      <c r="S35" s="25"/>
      <c r="T35" s="26"/>
      <c r="U35" s="6"/>
      <c r="V35" s="6"/>
      <c r="W35" s="6"/>
      <c r="X35" s="6"/>
      <c r="Y35" s="6"/>
      <c r="Z35" s="6"/>
    </row>
    <row r="36" ht="40.5" customHeight="1">
      <c r="A36" s="6"/>
      <c r="B36" s="6"/>
      <c r="C36" s="6"/>
      <c r="D36" s="6"/>
      <c r="E36" s="6"/>
      <c r="F36" s="6"/>
      <c r="G36" s="6"/>
      <c r="H36" s="6"/>
      <c r="I36" s="6"/>
      <c r="J36" s="6"/>
      <c r="K36" s="6"/>
      <c r="L36" s="53" t="s">
        <v>69</v>
      </c>
      <c r="M36" s="25"/>
      <c r="N36" s="26"/>
      <c r="O36" s="54"/>
      <c r="P36" s="25"/>
      <c r="Q36" s="25"/>
      <c r="R36" s="25"/>
      <c r="S36" s="25"/>
      <c r="T36" s="26"/>
      <c r="U36" s="6"/>
      <c r="V36" s="6"/>
      <c r="W36" s="6"/>
      <c r="X36" s="6"/>
      <c r="Y36" s="6"/>
      <c r="Z36" s="6"/>
    </row>
    <row r="37" ht="40.5" customHeight="1">
      <c r="A37" s="6"/>
      <c r="B37" s="6"/>
      <c r="C37" s="6"/>
      <c r="D37" s="6"/>
      <c r="E37" s="6"/>
      <c r="F37" s="6"/>
      <c r="G37" s="6"/>
      <c r="H37" s="6"/>
      <c r="I37" s="6"/>
      <c r="J37" s="6"/>
      <c r="K37" s="6"/>
      <c r="L37" s="53" t="s">
        <v>70</v>
      </c>
      <c r="M37" s="25"/>
      <c r="N37" s="26"/>
      <c r="O37" s="54"/>
      <c r="P37" s="25"/>
      <c r="Q37" s="25"/>
      <c r="R37" s="25"/>
      <c r="S37" s="25"/>
      <c r="T37" s="26"/>
      <c r="U37" s="6"/>
      <c r="V37" s="6"/>
      <c r="W37" s="6"/>
      <c r="X37" s="6"/>
      <c r="Y37" s="6"/>
      <c r="Z37" s="6"/>
    </row>
    <row r="38" ht="20.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20.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20.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20.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20.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20.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20.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20.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20.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20.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20.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20.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20.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20.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20.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20.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20.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20.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20.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20.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20.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20.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20.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20.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20.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20.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20.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20.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20.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20.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20.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20.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20.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20.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20.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20.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20.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20.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20.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20.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20.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20.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20.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20.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20.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20.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20.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20.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20.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20.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20.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20.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20.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20.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20.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20.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20.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20.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20.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20.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20.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20.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20.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20.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20.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20.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20.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20.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20.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20.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20.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20.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20.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20.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20.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20.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20.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20.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20.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20.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20.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20.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20.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20.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20.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20.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20.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20.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20.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20.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20.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20.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20.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20.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20.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20.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20.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20.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20.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20.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20.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20.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20.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20.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20.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20.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20.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20.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20.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20.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20.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20.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20.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20.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20.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20.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20.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20.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20.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20.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20.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20.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20.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20.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20.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20.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20.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20.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20.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20.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20.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20.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20.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20.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20.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20.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20.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20.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20.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20.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20.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20.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20.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20.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20.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20.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20.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20.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20.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20.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20.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20.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20.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20.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20.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20.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20.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20.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20.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20.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20.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20.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20.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20.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20.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20.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20.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20.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20.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20.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20.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20.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20.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20.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20.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20.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20.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20.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20.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20.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20.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20.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20.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20.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20.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20.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20.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20.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20.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20.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20.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20.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20.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20.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20.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20.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20.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20.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20.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20.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20.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20.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20.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20.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20.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20.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20.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20.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20.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20.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20.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20.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20.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20.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20.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20.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20.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20.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20.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20.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20.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20.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20.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20.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20.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20.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20.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20.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20.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20.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20.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20.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20.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20.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20.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20.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20.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20.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20.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20.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20.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20.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20.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20.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20.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20.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20.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20.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20.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20.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20.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20.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20.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20.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20.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20.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20.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20.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20.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20.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20.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20.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20.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20.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20.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20.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20.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20.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20.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20.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20.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20.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20.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20.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20.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20.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20.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20.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20.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20.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20.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20.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20.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20.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20.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20.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20.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20.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20.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20.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20.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20.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20.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20.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20.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20.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20.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20.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20.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20.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20.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20.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20.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20.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20.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20.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20.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20.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20.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20.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20.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20.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20.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20.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20.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20.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20.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20.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20.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20.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20.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20.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20.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20.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20.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20.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20.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20.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20.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20.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20.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20.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20.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20.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20.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20.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20.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20.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20.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20.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20.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20.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20.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20.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20.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20.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20.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20.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20.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20.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20.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20.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20.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20.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20.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20.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20.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20.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20.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20.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20.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20.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20.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20.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20.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20.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20.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20.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20.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20.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20.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20.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20.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20.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20.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20.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20.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20.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20.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20.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20.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20.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20.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20.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20.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20.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20.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20.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20.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20.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20.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20.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20.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20.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20.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20.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20.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20.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20.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20.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20.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20.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20.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20.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20.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20.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20.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20.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20.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20.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20.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20.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20.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20.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20.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20.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20.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20.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20.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20.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20.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20.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20.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20.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20.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20.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20.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20.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20.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20.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20.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20.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20.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20.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20.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20.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20.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20.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20.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20.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20.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20.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20.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20.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20.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20.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20.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20.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20.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20.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20.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20.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20.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20.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20.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20.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20.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20.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20.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20.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20.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20.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20.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20.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20.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20.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20.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20.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20.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20.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20.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20.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20.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20.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20.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20.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20.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20.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20.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20.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20.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20.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20.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20.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20.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20.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20.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20.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20.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20.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20.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20.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20.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20.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20.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20.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20.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20.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20.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20.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20.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20.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20.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20.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20.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20.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20.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20.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20.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20.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20.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20.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20.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20.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20.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20.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20.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20.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20.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20.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20.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20.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20.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20.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20.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20.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20.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20.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20.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20.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20.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20.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20.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20.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20.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20.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20.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20.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20.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20.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20.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20.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20.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20.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20.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20.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20.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20.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20.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20.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20.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20.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20.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20.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20.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20.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20.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20.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20.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20.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20.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20.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20.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20.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20.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20.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20.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20.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20.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20.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20.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20.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20.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20.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20.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20.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20.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20.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20.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20.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20.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20.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20.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20.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20.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20.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20.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20.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20.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20.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20.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20.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20.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20.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20.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20.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20.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20.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20.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20.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20.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20.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20.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20.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20.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20.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20.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20.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20.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20.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20.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20.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20.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20.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20.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20.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20.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20.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20.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20.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20.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20.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20.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20.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20.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20.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20.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20.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20.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20.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20.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20.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20.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20.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20.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20.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20.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20.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20.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20.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20.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20.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20.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20.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20.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20.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20.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20.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20.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20.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20.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20.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20.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20.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20.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20.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20.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20.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20.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20.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20.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20.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20.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20.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20.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20.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20.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20.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20.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20.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20.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20.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20.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20.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20.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20.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20.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20.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20.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20.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20.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20.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20.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20.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20.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20.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20.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20.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20.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20.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20.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20.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20.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20.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20.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20.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20.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20.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20.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20.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20.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20.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20.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20.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20.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20.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20.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20.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20.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20.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20.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20.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20.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20.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20.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20.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20.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20.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20.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20.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20.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20.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20.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20.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20.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20.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20.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20.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20.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20.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20.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20.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20.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20.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20.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20.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20.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20.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20.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20.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20.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20.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20.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20.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20.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20.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20.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20.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20.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20.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20.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20.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20.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20.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20.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20.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20.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20.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20.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20.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20.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20.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20.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20.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20.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20.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20.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20.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20.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20.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20.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20.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20.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20.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20.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20.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20.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20.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20.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20.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20.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20.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20.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20.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20.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20.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20.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20.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20.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20.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20.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20.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20.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20.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20.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20.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20.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20.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20.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20.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20.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20.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20.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20.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20.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20.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20.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20.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20.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20.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20.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20.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20.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20.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20.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20.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20.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20.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20.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20.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20.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20.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20.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20.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20.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20.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20.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20.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20.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20.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20.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20.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20.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20.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20.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20.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20.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20.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20.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20.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20.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20.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20.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20.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20.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20.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20.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20.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20.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20.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20.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20.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20.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20.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20.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20.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20.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20.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20.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20.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20.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20.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20.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20.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20.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20.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20.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20.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20.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20.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20.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20.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20.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20.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20.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20.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20.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20.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20.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20.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20.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20.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20.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20.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20.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20.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20.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20.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20.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20.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20.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20.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20.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20.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20.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20.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20.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20.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20.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20.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20.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20.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20.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20.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20.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20.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20.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20.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20.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20.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20.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20.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20.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20.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20.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20.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20.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20.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20.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20.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20.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20.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20.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20.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20.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20.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20.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20.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20.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20.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20.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20.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20.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20.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20.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20.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20.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20.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20.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20.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20.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20.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20.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20.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20.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20.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20.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20.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20.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20.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20.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20.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20.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20.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20.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20.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20.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20.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20.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20.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20.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20.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20.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64">
    <mergeCell ref="G16:H16"/>
    <mergeCell ref="I16:J16"/>
    <mergeCell ref="L16:O16"/>
    <mergeCell ref="P16:T16"/>
    <mergeCell ref="C17:D17"/>
    <mergeCell ref="E17:F17"/>
    <mergeCell ref="G17:H17"/>
    <mergeCell ref="I17:J17"/>
    <mergeCell ref="L17:O17"/>
    <mergeCell ref="P17:T17"/>
    <mergeCell ref="C18:D18"/>
    <mergeCell ref="E18:F18"/>
    <mergeCell ref="G18:H18"/>
    <mergeCell ref="I18:J18"/>
    <mergeCell ref="O35:T35"/>
    <mergeCell ref="O36:T36"/>
    <mergeCell ref="L37:N37"/>
    <mergeCell ref="O37:T37"/>
    <mergeCell ref="L31:N31"/>
    <mergeCell ref="O31:T31"/>
    <mergeCell ref="L32:N32"/>
    <mergeCell ref="O32:T32"/>
    <mergeCell ref="L33:N33"/>
    <mergeCell ref="O33:T33"/>
    <mergeCell ref="O34:T34"/>
    <mergeCell ref="B8:J8"/>
    <mergeCell ref="L8:T8"/>
    <mergeCell ref="B10:J11"/>
    <mergeCell ref="L10:T11"/>
    <mergeCell ref="L12:O12"/>
    <mergeCell ref="P12:T12"/>
    <mergeCell ref="L13:T13"/>
    <mergeCell ref="C19:D19"/>
    <mergeCell ref="E19:F19"/>
    <mergeCell ref="G19:H19"/>
    <mergeCell ref="I19:J19"/>
    <mergeCell ref="B21:J21"/>
    <mergeCell ref="B22:E22"/>
    <mergeCell ref="F22:J22"/>
    <mergeCell ref="B23:J24"/>
    <mergeCell ref="B13:J13"/>
    <mergeCell ref="B15:B19"/>
    <mergeCell ref="C15:D16"/>
    <mergeCell ref="E15:J15"/>
    <mergeCell ref="L15:O15"/>
    <mergeCell ref="P15:T15"/>
    <mergeCell ref="E16:F16"/>
    <mergeCell ref="L18:O18"/>
    <mergeCell ref="P18:T18"/>
    <mergeCell ref="L21:T21"/>
    <mergeCell ref="L23:O23"/>
    <mergeCell ref="P23:T23"/>
    <mergeCell ref="L24:O24"/>
    <mergeCell ref="P24:T24"/>
    <mergeCell ref="L25:O25"/>
    <mergeCell ref="P25:T25"/>
    <mergeCell ref="L26:O26"/>
    <mergeCell ref="P26:T26"/>
    <mergeCell ref="L27:O27"/>
    <mergeCell ref="P27:T27"/>
    <mergeCell ref="L29:T29"/>
    <mergeCell ref="L34:N34"/>
    <mergeCell ref="L35:N35"/>
    <mergeCell ref="L36:N3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2.33"/>
    <col customWidth="1" min="2" max="2" width="71.44"/>
    <col customWidth="1" min="3" max="3" width="35.44"/>
    <col customWidth="1" min="4" max="7" width="12.22"/>
    <col customWidth="1" min="8" max="8" width="16.56"/>
    <col customWidth="1" min="9" max="10" width="8.78"/>
    <col customWidth="1" min="11" max="26" width="8.56"/>
  </cols>
  <sheetData>
    <row r="1" ht="24.0" customHeight="1">
      <c r="A1" s="55"/>
      <c r="B1" s="55"/>
      <c r="C1" s="56"/>
      <c r="D1" s="55"/>
      <c r="E1" s="55"/>
      <c r="F1" s="55"/>
      <c r="G1" s="55"/>
      <c r="H1" s="55"/>
      <c r="I1" s="55"/>
      <c r="J1" s="55"/>
      <c r="K1" s="55"/>
      <c r="L1" s="55"/>
      <c r="M1" s="55"/>
      <c r="N1" s="55"/>
      <c r="O1" s="55"/>
      <c r="P1" s="55"/>
      <c r="Q1" s="55"/>
      <c r="R1" s="55"/>
      <c r="S1" s="55"/>
      <c r="T1" s="55"/>
      <c r="U1" s="55"/>
      <c r="V1" s="55"/>
      <c r="W1" s="55"/>
      <c r="X1" s="55"/>
      <c r="Y1" s="55"/>
      <c r="Z1" s="55"/>
    </row>
    <row r="2" ht="24.0" customHeight="1">
      <c r="A2" s="55"/>
      <c r="B2" s="57" t="s">
        <v>71</v>
      </c>
      <c r="C2" s="8"/>
      <c r="D2" s="8"/>
      <c r="E2" s="8"/>
      <c r="F2" s="8"/>
      <c r="G2" s="8"/>
      <c r="H2" s="8"/>
      <c r="I2" s="55"/>
      <c r="J2" s="55"/>
      <c r="K2" s="55"/>
      <c r="L2" s="55"/>
      <c r="M2" s="55"/>
      <c r="N2" s="55"/>
      <c r="O2" s="55"/>
      <c r="P2" s="55"/>
      <c r="Q2" s="55"/>
      <c r="R2" s="55"/>
      <c r="S2" s="55"/>
      <c r="T2" s="55"/>
      <c r="U2" s="55"/>
      <c r="V2" s="55"/>
      <c r="W2" s="55"/>
      <c r="X2" s="55"/>
      <c r="Y2" s="55"/>
      <c r="Z2" s="55"/>
    </row>
    <row r="3" ht="24.0" customHeight="1">
      <c r="A3" s="55"/>
      <c r="B3" s="55"/>
      <c r="C3" s="56"/>
      <c r="D3" s="55"/>
      <c r="E3" s="55"/>
      <c r="F3" s="55"/>
      <c r="G3" s="55"/>
      <c r="H3" s="55"/>
      <c r="I3" s="55"/>
      <c r="J3" s="55"/>
      <c r="K3" s="55"/>
      <c r="L3" s="55"/>
      <c r="M3" s="55"/>
      <c r="N3" s="55"/>
      <c r="O3" s="55"/>
      <c r="P3" s="55"/>
      <c r="Q3" s="55"/>
      <c r="R3" s="55"/>
      <c r="S3" s="55"/>
      <c r="T3" s="55"/>
      <c r="U3" s="55"/>
      <c r="V3" s="55"/>
      <c r="W3" s="55"/>
      <c r="X3" s="55"/>
      <c r="Y3" s="55"/>
      <c r="Z3" s="55"/>
    </row>
    <row r="4" ht="24.0" customHeight="1">
      <c r="A4" s="55"/>
      <c r="B4" s="58" t="s">
        <v>72</v>
      </c>
      <c r="C4" s="59" t="s">
        <v>73</v>
      </c>
      <c r="D4" s="59" t="s">
        <v>37</v>
      </c>
      <c r="E4" s="59" t="s">
        <v>42</v>
      </c>
      <c r="F4" s="59" t="s">
        <v>74</v>
      </c>
      <c r="G4" s="59" t="s">
        <v>10</v>
      </c>
      <c r="H4" s="59" t="s">
        <v>75</v>
      </c>
      <c r="I4" s="55"/>
      <c r="J4" s="55"/>
      <c r="K4" s="55"/>
      <c r="L4" s="55"/>
      <c r="M4" s="55"/>
      <c r="N4" s="55"/>
      <c r="O4" s="55"/>
      <c r="P4" s="55"/>
      <c r="Q4" s="55"/>
      <c r="R4" s="55"/>
      <c r="S4" s="55"/>
      <c r="T4" s="55"/>
      <c r="U4" s="55"/>
      <c r="V4" s="55"/>
      <c r="W4" s="55"/>
      <c r="X4" s="55"/>
      <c r="Y4" s="55"/>
      <c r="Z4" s="55"/>
    </row>
    <row r="5" ht="24.0" customHeight="1">
      <c r="A5" s="55"/>
      <c r="B5" s="60" t="s">
        <v>76</v>
      </c>
      <c r="C5" s="25"/>
      <c r="D5" s="25"/>
      <c r="E5" s="25"/>
      <c r="F5" s="25"/>
      <c r="G5" s="26"/>
      <c r="H5" s="61">
        <f>(H6+H7+H8+H10+H11+H12+H13)/7</f>
        <v>100</v>
      </c>
      <c r="I5" s="55"/>
      <c r="J5" s="55"/>
      <c r="K5" s="55"/>
      <c r="L5" s="55"/>
      <c r="M5" s="55"/>
      <c r="N5" s="55"/>
      <c r="O5" s="55"/>
      <c r="P5" s="55"/>
      <c r="Q5" s="55"/>
      <c r="R5" s="55"/>
      <c r="S5" s="55"/>
      <c r="T5" s="55"/>
      <c r="U5" s="55"/>
      <c r="V5" s="55"/>
      <c r="W5" s="55"/>
      <c r="X5" s="55"/>
      <c r="Y5" s="55"/>
      <c r="Z5" s="55"/>
    </row>
    <row r="6" ht="24.0" customHeight="1">
      <c r="A6" s="55"/>
      <c r="B6" s="62" t="s">
        <v>77</v>
      </c>
      <c r="C6" s="63">
        <v>4.0</v>
      </c>
      <c r="D6" s="64">
        <v>4.0</v>
      </c>
      <c r="E6" s="65"/>
      <c r="F6" s="66"/>
      <c r="G6" s="67"/>
      <c r="H6" s="68">
        <f t="shared" ref="H6:H13" si="1">(D6/C6)*100</f>
        <v>100</v>
      </c>
      <c r="I6" s="55"/>
      <c r="J6" s="55"/>
      <c r="K6" s="55"/>
      <c r="L6" s="55"/>
      <c r="M6" s="55"/>
      <c r="N6" s="55"/>
      <c r="O6" s="55"/>
      <c r="P6" s="55"/>
      <c r="Q6" s="55"/>
      <c r="R6" s="55"/>
      <c r="S6" s="55"/>
      <c r="T6" s="55"/>
      <c r="U6" s="55"/>
      <c r="V6" s="55"/>
      <c r="W6" s="55"/>
      <c r="X6" s="55"/>
      <c r="Y6" s="55"/>
      <c r="Z6" s="55"/>
    </row>
    <row r="7" ht="24.0" customHeight="1">
      <c r="A7" s="55"/>
      <c r="B7" s="62" t="s">
        <v>78</v>
      </c>
      <c r="C7" s="63">
        <v>5.0</v>
      </c>
      <c r="D7" s="64">
        <v>5.0</v>
      </c>
      <c r="E7" s="65"/>
      <c r="F7" s="66"/>
      <c r="G7" s="67"/>
      <c r="H7" s="68">
        <f t="shared" si="1"/>
        <v>100</v>
      </c>
      <c r="I7" s="55"/>
      <c r="J7" s="55"/>
      <c r="K7" s="55"/>
      <c r="L7" s="55"/>
      <c r="M7" s="55"/>
      <c r="N7" s="55"/>
      <c r="O7" s="55"/>
      <c r="P7" s="55"/>
      <c r="Q7" s="55"/>
      <c r="R7" s="55"/>
      <c r="S7" s="55"/>
      <c r="T7" s="55"/>
      <c r="U7" s="55"/>
      <c r="V7" s="55"/>
      <c r="W7" s="55"/>
      <c r="X7" s="55"/>
      <c r="Y7" s="55"/>
      <c r="Z7" s="55"/>
    </row>
    <row r="8" ht="24.0" customHeight="1">
      <c r="A8" s="55"/>
      <c r="B8" s="62" t="s">
        <v>79</v>
      </c>
      <c r="C8" s="63">
        <v>4.0</v>
      </c>
      <c r="D8" s="64">
        <v>4.0</v>
      </c>
      <c r="E8" s="65"/>
      <c r="F8" s="66"/>
      <c r="G8" s="67"/>
      <c r="H8" s="68">
        <f t="shared" si="1"/>
        <v>100</v>
      </c>
      <c r="I8" s="55"/>
      <c r="J8" s="55"/>
      <c r="K8" s="55"/>
      <c r="L8" s="55"/>
      <c r="M8" s="55"/>
      <c r="N8" s="55"/>
      <c r="O8" s="55"/>
      <c r="P8" s="55"/>
      <c r="Q8" s="55"/>
      <c r="R8" s="55"/>
      <c r="S8" s="55"/>
      <c r="T8" s="55"/>
      <c r="U8" s="55"/>
      <c r="V8" s="55"/>
      <c r="W8" s="55"/>
      <c r="X8" s="55"/>
      <c r="Y8" s="55"/>
      <c r="Z8" s="55"/>
    </row>
    <row r="9" ht="24.0" customHeight="1">
      <c r="A9" s="55"/>
      <c r="B9" s="62" t="s">
        <v>80</v>
      </c>
      <c r="C9" s="63">
        <v>7.0</v>
      </c>
      <c r="D9" s="64">
        <v>7.0</v>
      </c>
      <c r="E9" s="65"/>
      <c r="F9" s="66"/>
      <c r="G9" s="67"/>
      <c r="H9" s="68">
        <f t="shared" si="1"/>
        <v>100</v>
      </c>
      <c r="I9" s="55"/>
      <c r="J9" s="55"/>
      <c r="K9" s="55"/>
      <c r="L9" s="55"/>
      <c r="M9" s="55"/>
      <c r="N9" s="55"/>
      <c r="O9" s="55"/>
      <c r="P9" s="55"/>
      <c r="Q9" s="55"/>
      <c r="R9" s="55"/>
      <c r="S9" s="55"/>
      <c r="T9" s="55"/>
      <c r="U9" s="55"/>
      <c r="V9" s="55"/>
      <c r="W9" s="55"/>
      <c r="X9" s="55"/>
      <c r="Y9" s="55"/>
      <c r="Z9" s="55"/>
    </row>
    <row r="10" ht="24.0" customHeight="1">
      <c r="A10" s="55"/>
      <c r="B10" s="62" t="s">
        <v>81</v>
      </c>
      <c r="C10" s="63">
        <v>6.0</v>
      </c>
      <c r="D10" s="64">
        <v>6.0</v>
      </c>
      <c r="E10" s="65"/>
      <c r="F10" s="66"/>
      <c r="G10" s="67"/>
      <c r="H10" s="68">
        <f t="shared" si="1"/>
        <v>100</v>
      </c>
      <c r="I10" s="55"/>
      <c r="J10" s="55"/>
      <c r="K10" s="55"/>
      <c r="L10" s="55"/>
      <c r="M10" s="55"/>
      <c r="N10" s="55"/>
      <c r="O10" s="55"/>
      <c r="P10" s="55"/>
      <c r="Q10" s="55"/>
      <c r="R10" s="55"/>
      <c r="S10" s="55"/>
      <c r="T10" s="55"/>
      <c r="U10" s="55"/>
      <c r="V10" s="55"/>
      <c r="W10" s="55"/>
      <c r="X10" s="55"/>
      <c r="Y10" s="55"/>
      <c r="Z10" s="55"/>
    </row>
    <row r="11" ht="24.0" customHeight="1">
      <c r="A11" s="55"/>
      <c r="B11" s="62" t="s">
        <v>82</v>
      </c>
      <c r="C11" s="63">
        <v>4.0</v>
      </c>
      <c r="D11" s="64">
        <v>4.0</v>
      </c>
      <c r="E11" s="65"/>
      <c r="F11" s="66"/>
      <c r="G11" s="67"/>
      <c r="H11" s="68">
        <f t="shared" si="1"/>
        <v>100</v>
      </c>
      <c r="I11" s="55"/>
      <c r="J11" s="55"/>
      <c r="K11" s="55"/>
      <c r="L11" s="55"/>
      <c r="M11" s="55"/>
      <c r="N11" s="55"/>
      <c r="O11" s="55"/>
      <c r="P11" s="55"/>
      <c r="Q11" s="55"/>
      <c r="R11" s="55"/>
      <c r="S11" s="55"/>
      <c r="T11" s="55"/>
      <c r="U11" s="55"/>
      <c r="V11" s="55"/>
      <c r="W11" s="55"/>
      <c r="X11" s="55"/>
      <c r="Y11" s="55"/>
      <c r="Z11" s="55"/>
    </row>
    <row r="12" ht="24.0" customHeight="1">
      <c r="A12" s="55"/>
      <c r="B12" s="62" t="s">
        <v>83</v>
      </c>
      <c r="C12" s="63">
        <v>4.0</v>
      </c>
      <c r="D12" s="64">
        <v>4.0</v>
      </c>
      <c r="E12" s="65"/>
      <c r="F12" s="66"/>
      <c r="G12" s="67"/>
      <c r="H12" s="68">
        <f t="shared" si="1"/>
        <v>100</v>
      </c>
      <c r="I12" s="55"/>
      <c r="J12" s="55"/>
      <c r="K12" s="55"/>
      <c r="L12" s="55"/>
      <c r="M12" s="55"/>
      <c r="N12" s="55"/>
      <c r="O12" s="55"/>
      <c r="P12" s="55"/>
      <c r="Q12" s="55"/>
      <c r="R12" s="55"/>
      <c r="S12" s="55"/>
      <c r="T12" s="55"/>
      <c r="U12" s="55"/>
      <c r="V12" s="55"/>
      <c r="W12" s="55"/>
      <c r="X12" s="55"/>
      <c r="Y12" s="55"/>
      <c r="Z12" s="55"/>
    </row>
    <row r="13" ht="24.0" customHeight="1">
      <c r="A13" s="55"/>
      <c r="B13" s="62" t="s">
        <v>84</v>
      </c>
      <c r="C13" s="63">
        <v>5.0</v>
      </c>
      <c r="D13" s="64">
        <v>5.0</v>
      </c>
      <c r="E13" s="65"/>
      <c r="F13" s="66"/>
      <c r="G13" s="67"/>
      <c r="H13" s="68">
        <f t="shared" si="1"/>
        <v>100</v>
      </c>
      <c r="I13" s="55"/>
      <c r="J13" s="55"/>
      <c r="K13" s="55"/>
      <c r="L13" s="55"/>
      <c r="M13" s="55"/>
      <c r="N13" s="55"/>
      <c r="O13" s="55"/>
      <c r="P13" s="55"/>
      <c r="Q13" s="55"/>
      <c r="R13" s="55"/>
      <c r="S13" s="55"/>
      <c r="T13" s="55"/>
      <c r="U13" s="55"/>
      <c r="V13" s="55"/>
      <c r="W13" s="55"/>
      <c r="X13" s="55"/>
      <c r="Y13" s="55"/>
      <c r="Z13" s="55"/>
    </row>
    <row r="14" ht="24.0" customHeight="1">
      <c r="A14" s="55"/>
      <c r="B14" s="60" t="s">
        <v>85</v>
      </c>
      <c r="C14" s="25"/>
      <c r="D14" s="25"/>
      <c r="E14" s="25"/>
      <c r="F14" s="25"/>
      <c r="G14" s="26"/>
      <c r="H14" s="69">
        <f>(H15+H16+H18+H20)/5</f>
        <v>80</v>
      </c>
      <c r="I14" s="55"/>
      <c r="J14" s="55"/>
      <c r="K14" s="55"/>
      <c r="L14" s="55"/>
      <c r="M14" s="55"/>
      <c r="N14" s="55"/>
      <c r="O14" s="55"/>
      <c r="P14" s="55"/>
      <c r="Q14" s="55"/>
      <c r="R14" s="55"/>
      <c r="S14" s="55"/>
      <c r="T14" s="55"/>
      <c r="U14" s="55"/>
      <c r="V14" s="55"/>
      <c r="W14" s="55"/>
      <c r="X14" s="55"/>
      <c r="Y14" s="55"/>
      <c r="Z14" s="55"/>
    </row>
    <row r="15" ht="24.0" customHeight="1">
      <c r="A15" s="55"/>
      <c r="B15" s="62" t="s">
        <v>86</v>
      </c>
      <c r="C15" s="63">
        <v>5.0</v>
      </c>
      <c r="D15" s="64">
        <v>5.0</v>
      </c>
      <c r="E15" s="65"/>
      <c r="F15" s="66"/>
      <c r="G15" s="67"/>
      <c r="H15" s="68">
        <f t="shared" ref="H15:H16" si="2">(D15/C15)*100</f>
        <v>100</v>
      </c>
      <c r="I15" s="55"/>
      <c r="J15" s="55"/>
      <c r="K15" s="55"/>
      <c r="L15" s="55"/>
      <c r="M15" s="55"/>
      <c r="N15" s="55"/>
      <c r="O15" s="55"/>
      <c r="P15" s="55"/>
      <c r="Q15" s="55"/>
      <c r="R15" s="55"/>
      <c r="S15" s="55"/>
      <c r="T15" s="55"/>
      <c r="U15" s="55"/>
      <c r="V15" s="55"/>
      <c r="W15" s="55"/>
      <c r="X15" s="55"/>
      <c r="Y15" s="55"/>
      <c r="Z15" s="55"/>
    </row>
    <row r="16" ht="24.0" customHeight="1">
      <c r="A16" s="55"/>
      <c r="B16" s="62" t="s">
        <v>87</v>
      </c>
      <c r="C16" s="63">
        <v>3.0</v>
      </c>
      <c r="D16" s="64">
        <v>3.0</v>
      </c>
      <c r="E16" s="65"/>
      <c r="F16" s="66"/>
      <c r="G16" s="67"/>
      <c r="H16" s="68">
        <f t="shared" si="2"/>
        <v>100</v>
      </c>
      <c r="I16" s="55"/>
      <c r="J16" s="55"/>
      <c r="K16" s="55"/>
      <c r="L16" s="55"/>
      <c r="M16" s="55"/>
      <c r="N16" s="55"/>
      <c r="O16" s="55"/>
      <c r="P16" s="55"/>
      <c r="Q16" s="55"/>
      <c r="R16" s="55"/>
      <c r="S16" s="55"/>
      <c r="T16" s="55"/>
      <c r="U16" s="55"/>
      <c r="V16" s="55"/>
      <c r="W16" s="55"/>
      <c r="X16" s="55"/>
      <c r="Y16" s="55"/>
      <c r="Z16" s="55"/>
    </row>
    <row r="17" ht="24.0" customHeight="1">
      <c r="A17" s="55"/>
      <c r="B17" s="62" t="s">
        <v>88</v>
      </c>
      <c r="C17" s="70" t="s">
        <v>89</v>
      </c>
      <c r="D17" s="71"/>
      <c r="E17" s="65"/>
      <c r="F17" s="66"/>
      <c r="G17" s="67"/>
      <c r="H17" s="68" t="s">
        <v>90</v>
      </c>
      <c r="I17" s="55"/>
      <c r="J17" s="55"/>
      <c r="K17" s="55"/>
      <c r="L17" s="55"/>
      <c r="M17" s="55"/>
      <c r="N17" s="55"/>
      <c r="O17" s="55"/>
      <c r="P17" s="55"/>
      <c r="Q17" s="55"/>
      <c r="R17" s="55"/>
      <c r="S17" s="55"/>
      <c r="T17" s="55"/>
      <c r="U17" s="55"/>
      <c r="V17" s="55"/>
      <c r="W17" s="55"/>
      <c r="X17" s="55"/>
      <c r="Y17" s="55"/>
      <c r="Z17" s="55"/>
    </row>
    <row r="18" ht="24.0" customHeight="1">
      <c r="A18" s="55"/>
      <c r="B18" s="62" t="s">
        <v>91</v>
      </c>
      <c r="C18" s="63">
        <v>3.0</v>
      </c>
      <c r="D18" s="64">
        <v>3.0</v>
      </c>
      <c r="E18" s="65"/>
      <c r="F18" s="66"/>
      <c r="G18" s="67"/>
      <c r="H18" s="68">
        <f t="shared" ref="H18:H20" si="3">(D18/C18)*100</f>
        <v>100</v>
      </c>
      <c r="I18" s="55"/>
      <c r="J18" s="55"/>
      <c r="K18" s="55"/>
      <c r="L18" s="55"/>
      <c r="M18" s="55"/>
      <c r="N18" s="55"/>
      <c r="O18" s="55"/>
      <c r="P18" s="55"/>
      <c r="Q18" s="55"/>
      <c r="R18" s="55"/>
      <c r="S18" s="55"/>
      <c r="T18" s="55"/>
      <c r="U18" s="55"/>
      <c r="V18" s="55"/>
      <c r="W18" s="55"/>
      <c r="X18" s="55"/>
      <c r="Y18" s="55"/>
      <c r="Z18" s="55"/>
    </row>
    <row r="19" ht="24.0" customHeight="1">
      <c r="A19" s="55"/>
      <c r="B19" s="62" t="s">
        <v>92</v>
      </c>
      <c r="C19" s="63">
        <v>5.0</v>
      </c>
      <c r="D19" s="64">
        <v>5.0</v>
      </c>
      <c r="E19" s="65"/>
      <c r="F19" s="66"/>
      <c r="G19" s="67"/>
      <c r="H19" s="68">
        <f t="shared" si="3"/>
        <v>100</v>
      </c>
      <c r="I19" s="55"/>
      <c r="J19" s="55"/>
      <c r="K19" s="55"/>
      <c r="L19" s="55"/>
      <c r="M19" s="55"/>
      <c r="N19" s="55"/>
      <c r="O19" s="55"/>
      <c r="P19" s="55"/>
      <c r="Q19" s="55"/>
      <c r="R19" s="55"/>
      <c r="S19" s="55"/>
      <c r="T19" s="55"/>
      <c r="U19" s="55"/>
      <c r="V19" s="55"/>
      <c r="W19" s="55"/>
      <c r="X19" s="55"/>
      <c r="Y19" s="55"/>
      <c r="Z19" s="55"/>
    </row>
    <row r="20" ht="24.0" customHeight="1">
      <c r="A20" s="55"/>
      <c r="B20" s="62" t="s">
        <v>93</v>
      </c>
      <c r="C20" s="63">
        <v>3.0</v>
      </c>
      <c r="D20" s="64">
        <v>3.0</v>
      </c>
      <c r="E20" s="65"/>
      <c r="F20" s="66"/>
      <c r="G20" s="67"/>
      <c r="H20" s="68">
        <f t="shared" si="3"/>
        <v>100</v>
      </c>
      <c r="I20" s="55"/>
      <c r="J20" s="55"/>
      <c r="K20" s="55"/>
      <c r="L20" s="55"/>
      <c r="M20" s="55"/>
      <c r="N20" s="55"/>
      <c r="O20" s="55"/>
      <c r="P20" s="55"/>
      <c r="Q20" s="55"/>
      <c r="R20" s="55"/>
      <c r="S20" s="55"/>
      <c r="T20" s="55"/>
      <c r="U20" s="55"/>
      <c r="V20" s="55"/>
      <c r="W20" s="55"/>
      <c r="X20" s="55"/>
      <c r="Y20" s="55"/>
      <c r="Z20" s="55"/>
    </row>
    <row r="21" ht="24.0" customHeight="1">
      <c r="A21" s="55"/>
      <c r="B21" s="72" t="s">
        <v>94</v>
      </c>
      <c r="C21" s="25"/>
      <c r="D21" s="25"/>
      <c r="E21" s="25"/>
      <c r="F21" s="25"/>
      <c r="G21" s="26"/>
      <c r="H21" s="69">
        <f>(H22+H23)/2</f>
        <v>100</v>
      </c>
      <c r="I21" s="55"/>
      <c r="J21" s="55"/>
      <c r="K21" s="55"/>
      <c r="L21" s="55"/>
      <c r="M21" s="55"/>
      <c r="N21" s="55"/>
      <c r="O21" s="55"/>
      <c r="P21" s="55"/>
      <c r="Q21" s="55"/>
      <c r="R21" s="55"/>
      <c r="S21" s="55"/>
      <c r="T21" s="55"/>
      <c r="U21" s="55"/>
      <c r="V21" s="55"/>
      <c r="W21" s="55"/>
      <c r="X21" s="55"/>
      <c r="Y21" s="55"/>
      <c r="Z21" s="55"/>
    </row>
    <row r="22" ht="24.0" customHeight="1">
      <c r="A22" s="55"/>
      <c r="B22" s="62" t="s">
        <v>95</v>
      </c>
      <c r="C22" s="63">
        <v>4.0</v>
      </c>
      <c r="D22" s="64">
        <v>4.0</v>
      </c>
      <c r="E22" s="65"/>
      <c r="F22" s="66"/>
      <c r="G22" s="67"/>
      <c r="H22" s="68">
        <f t="shared" ref="H22:H23" si="4">(D22/C22)*100</f>
        <v>100</v>
      </c>
      <c r="I22" s="55"/>
      <c r="J22" s="55"/>
      <c r="K22" s="55"/>
      <c r="L22" s="55"/>
      <c r="M22" s="55"/>
      <c r="N22" s="55"/>
      <c r="O22" s="55"/>
      <c r="P22" s="55"/>
      <c r="Q22" s="55"/>
      <c r="R22" s="55"/>
      <c r="S22" s="55"/>
      <c r="T22" s="55"/>
      <c r="U22" s="55"/>
      <c r="V22" s="55"/>
      <c r="W22" s="55"/>
      <c r="X22" s="55"/>
      <c r="Y22" s="55"/>
      <c r="Z22" s="55"/>
    </row>
    <row r="23" ht="24.0" customHeight="1">
      <c r="A23" s="55"/>
      <c r="B23" s="62" t="s">
        <v>96</v>
      </c>
      <c r="C23" s="63">
        <v>4.0</v>
      </c>
      <c r="D23" s="64">
        <v>4.0</v>
      </c>
      <c r="E23" s="65"/>
      <c r="F23" s="66"/>
      <c r="G23" s="67"/>
      <c r="H23" s="68">
        <f t="shared" si="4"/>
        <v>100</v>
      </c>
      <c r="I23" s="55"/>
      <c r="J23" s="55"/>
      <c r="K23" s="55"/>
      <c r="L23" s="55"/>
      <c r="M23" s="55"/>
      <c r="N23" s="55"/>
      <c r="O23" s="55"/>
      <c r="P23" s="55"/>
      <c r="Q23" s="55"/>
      <c r="R23" s="55"/>
      <c r="S23" s="55"/>
      <c r="T23" s="55"/>
      <c r="U23" s="55"/>
      <c r="V23" s="55"/>
      <c r="W23" s="55"/>
      <c r="X23" s="55"/>
      <c r="Y23" s="55"/>
      <c r="Z23" s="55"/>
    </row>
    <row r="24" ht="24.0" customHeight="1">
      <c r="A24" s="55"/>
      <c r="B24" s="72" t="s">
        <v>97</v>
      </c>
      <c r="C24" s="25"/>
      <c r="D24" s="25"/>
      <c r="E24" s="25"/>
      <c r="F24" s="25"/>
      <c r="G24" s="26"/>
      <c r="H24" s="69">
        <f>SUM(H25:H39)/15</f>
        <v>81.2962963</v>
      </c>
      <c r="I24" s="55"/>
      <c r="J24" s="55"/>
      <c r="K24" s="55"/>
      <c r="L24" s="55"/>
      <c r="M24" s="55"/>
      <c r="N24" s="55"/>
      <c r="O24" s="55"/>
      <c r="P24" s="55"/>
      <c r="Q24" s="55"/>
      <c r="R24" s="55"/>
      <c r="S24" s="55"/>
      <c r="T24" s="55"/>
      <c r="U24" s="55"/>
      <c r="V24" s="55"/>
      <c r="W24" s="55"/>
      <c r="X24" s="55"/>
      <c r="Y24" s="55"/>
      <c r="Z24" s="55"/>
    </row>
    <row r="25" ht="24.0" customHeight="1">
      <c r="A25" s="55"/>
      <c r="B25" s="62" t="s">
        <v>98</v>
      </c>
      <c r="C25" s="63">
        <v>5.0</v>
      </c>
      <c r="D25" s="64">
        <v>4.0</v>
      </c>
      <c r="E25" s="65"/>
      <c r="F25" s="66"/>
      <c r="G25" s="73">
        <v>1.0</v>
      </c>
      <c r="H25" s="68">
        <f t="shared" ref="H25:H37" si="5">(D25/C25)*100</f>
        <v>80</v>
      </c>
      <c r="I25" s="55"/>
      <c r="J25" s="55"/>
      <c r="K25" s="55"/>
      <c r="L25" s="55"/>
      <c r="M25" s="55"/>
      <c r="N25" s="55"/>
      <c r="O25" s="55"/>
      <c r="P25" s="55"/>
      <c r="Q25" s="55"/>
      <c r="R25" s="55"/>
      <c r="S25" s="55"/>
      <c r="T25" s="55"/>
      <c r="U25" s="55"/>
      <c r="V25" s="55"/>
      <c r="W25" s="55"/>
      <c r="X25" s="55"/>
      <c r="Y25" s="55"/>
      <c r="Z25" s="55"/>
    </row>
    <row r="26" ht="24.0" customHeight="1">
      <c r="A26" s="55"/>
      <c r="B26" s="62" t="s">
        <v>99</v>
      </c>
      <c r="C26" s="63">
        <v>5.0</v>
      </c>
      <c r="D26" s="64">
        <v>5.0</v>
      </c>
      <c r="E26" s="65"/>
      <c r="F26" s="66"/>
      <c r="G26" s="67"/>
      <c r="H26" s="68">
        <f t="shared" si="5"/>
        <v>100</v>
      </c>
      <c r="I26" s="55"/>
      <c r="J26" s="55"/>
      <c r="K26" s="55"/>
      <c r="L26" s="55"/>
      <c r="M26" s="55"/>
      <c r="N26" s="55"/>
      <c r="O26" s="55"/>
      <c r="P26" s="55"/>
      <c r="Q26" s="55"/>
      <c r="R26" s="55"/>
      <c r="S26" s="55"/>
      <c r="T26" s="55"/>
      <c r="U26" s="55"/>
      <c r="V26" s="55"/>
      <c r="W26" s="55"/>
      <c r="X26" s="55"/>
      <c r="Y26" s="55"/>
      <c r="Z26" s="55"/>
    </row>
    <row r="27" ht="24.0" customHeight="1">
      <c r="A27" s="55"/>
      <c r="B27" s="62" t="s">
        <v>100</v>
      </c>
      <c r="C27" s="63">
        <v>6.0</v>
      </c>
      <c r="D27" s="64">
        <v>3.0</v>
      </c>
      <c r="E27" s="65"/>
      <c r="F27" s="66"/>
      <c r="G27" s="73">
        <v>3.0</v>
      </c>
      <c r="H27" s="68">
        <f t="shared" si="5"/>
        <v>50</v>
      </c>
      <c r="I27" s="55"/>
      <c r="J27" s="55"/>
      <c r="K27" s="55"/>
      <c r="L27" s="55"/>
      <c r="M27" s="55"/>
      <c r="N27" s="55"/>
      <c r="O27" s="55"/>
      <c r="P27" s="55"/>
      <c r="Q27" s="55"/>
      <c r="R27" s="55"/>
      <c r="S27" s="55"/>
      <c r="T27" s="55"/>
      <c r="U27" s="55"/>
      <c r="V27" s="55"/>
      <c r="W27" s="55"/>
      <c r="X27" s="55"/>
      <c r="Y27" s="55"/>
      <c r="Z27" s="55"/>
    </row>
    <row r="28" ht="24.0" customHeight="1">
      <c r="A28" s="55"/>
      <c r="B28" s="62" t="s">
        <v>101</v>
      </c>
      <c r="C28" s="63">
        <v>8.0</v>
      </c>
      <c r="D28" s="64">
        <v>8.0</v>
      </c>
      <c r="E28" s="65"/>
      <c r="F28" s="66"/>
      <c r="G28" s="67"/>
      <c r="H28" s="68">
        <f t="shared" si="5"/>
        <v>100</v>
      </c>
      <c r="I28" s="55"/>
      <c r="J28" s="55"/>
      <c r="K28" s="55"/>
      <c r="L28" s="55"/>
      <c r="M28" s="55"/>
      <c r="N28" s="55"/>
      <c r="O28" s="55"/>
      <c r="P28" s="55"/>
      <c r="Q28" s="55"/>
      <c r="R28" s="55"/>
      <c r="S28" s="55"/>
      <c r="T28" s="55"/>
      <c r="U28" s="55"/>
      <c r="V28" s="55"/>
      <c r="W28" s="55"/>
      <c r="X28" s="55"/>
      <c r="Y28" s="55"/>
      <c r="Z28" s="55"/>
    </row>
    <row r="29" ht="24.0" customHeight="1">
      <c r="A29" s="55"/>
      <c r="B29" s="62" t="s">
        <v>102</v>
      </c>
      <c r="C29" s="63">
        <v>15.0</v>
      </c>
      <c r="D29" s="64">
        <v>13.0</v>
      </c>
      <c r="E29" s="65"/>
      <c r="F29" s="66"/>
      <c r="G29" s="73">
        <v>2.0</v>
      </c>
      <c r="H29" s="68">
        <f t="shared" si="5"/>
        <v>86.66666667</v>
      </c>
      <c r="I29" s="55"/>
      <c r="J29" s="55"/>
      <c r="K29" s="55"/>
      <c r="L29" s="55"/>
      <c r="M29" s="55"/>
      <c r="N29" s="55"/>
      <c r="O29" s="55"/>
      <c r="P29" s="55"/>
      <c r="Q29" s="55"/>
      <c r="R29" s="55"/>
      <c r="S29" s="55"/>
      <c r="T29" s="55"/>
      <c r="U29" s="55"/>
      <c r="V29" s="55"/>
      <c r="W29" s="55"/>
      <c r="X29" s="55"/>
      <c r="Y29" s="55"/>
      <c r="Z29" s="55"/>
    </row>
    <row r="30" ht="24.0" customHeight="1">
      <c r="A30" s="55"/>
      <c r="B30" s="62" t="s">
        <v>103</v>
      </c>
      <c r="C30" s="63">
        <v>9.0</v>
      </c>
      <c r="D30" s="64">
        <v>7.0</v>
      </c>
      <c r="E30" s="65"/>
      <c r="F30" s="74">
        <v>2.0</v>
      </c>
      <c r="G30" s="67"/>
      <c r="H30" s="68">
        <f t="shared" si="5"/>
        <v>77.77777778</v>
      </c>
      <c r="I30" s="55"/>
      <c r="J30" s="55"/>
      <c r="K30" s="55"/>
      <c r="L30" s="55"/>
      <c r="M30" s="55"/>
      <c r="N30" s="55"/>
      <c r="O30" s="55"/>
      <c r="P30" s="55"/>
      <c r="Q30" s="55"/>
      <c r="R30" s="55"/>
      <c r="S30" s="55"/>
      <c r="T30" s="55"/>
      <c r="U30" s="55"/>
      <c r="V30" s="55"/>
      <c r="W30" s="55"/>
      <c r="X30" s="55"/>
      <c r="Y30" s="55"/>
      <c r="Z30" s="55"/>
    </row>
    <row r="31" ht="24.0" customHeight="1">
      <c r="A31" s="55"/>
      <c r="B31" s="62" t="s">
        <v>104</v>
      </c>
      <c r="C31" s="63">
        <v>9.0</v>
      </c>
      <c r="D31" s="64">
        <v>8.0</v>
      </c>
      <c r="E31" s="65"/>
      <c r="F31" s="74">
        <v>1.0</v>
      </c>
      <c r="G31" s="67"/>
      <c r="H31" s="68">
        <f t="shared" si="5"/>
        <v>88.88888889</v>
      </c>
      <c r="I31" s="55"/>
      <c r="J31" s="55"/>
      <c r="K31" s="55"/>
      <c r="L31" s="55"/>
      <c r="M31" s="55"/>
      <c r="N31" s="55"/>
      <c r="O31" s="55"/>
      <c r="P31" s="55"/>
      <c r="Q31" s="55"/>
      <c r="R31" s="55"/>
      <c r="S31" s="55"/>
      <c r="T31" s="55"/>
      <c r="U31" s="55"/>
      <c r="V31" s="55"/>
      <c r="W31" s="55"/>
      <c r="X31" s="55"/>
      <c r="Y31" s="55"/>
      <c r="Z31" s="55"/>
    </row>
    <row r="32" ht="24.0" customHeight="1">
      <c r="A32" s="55"/>
      <c r="B32" s="62" t="s">
        <v>105</v>
      </c>
      <c r="C32" s="63">
        <v>5.0</v>
      </c>
      <c r="D32" s="64">
        <v>5.0</v>
      </c>
      <c r="E32" s="65"/>
      <c r="F32" s="66"/>
      <c r="G32" s="67"/>
      <c r="H32" s="68">
        <f t="shared" si="5"/>
        <v>100</v>
      </c>
      <c r="I32" s="55"/>
      <c r="J32" s="55"/>
      <c r="K32" s="55"/>
      <c r="L32" s="55"/>
      <c r="M32" s="55"/>
      <c r="N32" s="55"/>
      <c r="O32" s="55"/>
      <c r="P32" s="55"/>
      <c r="Q32" s="55"/>
      <c r="R32" s="55"/>
      <c r="S32" s="55"/>
      <c r="T32" s="55"/>
      <c r="U32" s="55"/>
      <c r="V32" s="55"/>
      <c r="W32" s="55"/>
      <c r="X32" s="55"/>
      <c r="Y32" s="55"/>
      <c r="Z32" s="55"/>
    </row>
    <row r="33" ht="24.0" customHeight="1">
      <c r="A33" s="55"/>
      <c r="B33" s="62" t="s">
        <v>106</v>
      </c>
      <c r="C33" s="63">
        <v>8.0</v>
      </c>
      <c r="D33" s="64">
        <v>6.0</v>
      </c>
      <c r="E33" s="65"/>
      <c r="F33" s="74">
        <v>2.0</v>
      </c>
      <c r="G33" s="67"/>
      <c r="H33" s="68">
        <f t="shared" si="5"/>
        <v>75</v>
      </c>
      <c r="I33" s="55"/>
      <c r="J33" s="55"/>
      <c r="K33" s="55"/>
      <c r="L33" s="55"/>
      <c r="M33" s="55"/>
      <c r="N33" s="55"/>
      <c r="O33" s="55"/>
      <c r="P33" s="55"/>
      <c r="Q33" s="55"/>
      <c r="R33" s="55"/>
      <c r="S33" s="55"/>
      <c r="T33" s="55"/>
      <c r="U33" s="55"/>
      <c r="V33" s="55"/>
      <c r="W33" s="55"/>
      <c r="X33" s="55"/>
      <c r="Y33" s="55"/>
      <c r="Z33" s="55"/>
    </row>
    <row r="34" ht="24.0" customHeight="1">
      <c r="A34" s="55"/>
      <c r="B34" s="62" t="s">
        <v>107</v>
      </c>
      <c r="C34" s="63">
        <v>7.0</v>
      </c>
      <c r="D34" s="64">
        <v>7.0</v>
      </c>
      <c r="E34" s="65"/>
      <c r="F34" s="66"/>
      <c r="G34" s="67"/>
      <c r="H34" s="68">
        <f t="shared" si="5"/>
        <v>100</v>
      </c>
      <c r="I34" s="55"/>
      <c r="J34" s="55"/>
      <c r="K34" s="55"/>
      <c r="L34" s="55"/>
      <c r="M34" s="55"/>
      <c r="N34" s="55"/>
      <c r="O34" s="55"/>
      <c r="P34" s="55"/>
      <c r="Q34" s="55"/>
      <c r="R34" s="55"/>
      <c r="S34" s="55"/>
      <c r="T34" s="55"/>
      <c r="U34" s="55"/>
      <c r="V34" s="55"/>
      <c r="W34" s="55"/>
      <c r="X34" s="55"/>
      <c r="Y34" s="55"/>
      <c r="Z34" s="55"/>
    </row>
    <row r="35" ht="24.0" customHeight="1">
      <c r="A35" s="55"/>
      <c r="B35" s="62" t="s">
        <v>108</v>
      </c>
      <c r="C35" s="63">
        <v>6.0</v>
      </c>
      <c r="D35" s="64">
        <v>5.0</v>
      </c>
      <c r="E35" s="65"/>
      <c r="F35" s="66"/>
      <c r="G35" s="73">
        <v>1.0</v>
      </c>
      <c r="H35" s="68">
        <f t="shared" si="5"/>
        <v>83.33333333</v>
      </c>
      <c r="I35" s="55"/>
      <c r="J35" s="55"/>
      <c r="K35" s="55"/>
      <c r="L35" s="55"/>
      <c r="M35" s="55"/>
      <c r="N35" s="55"/>
      <c r="O35" s="55"/>
      <c r="P35" s="55"/>
      <c r="Q35" s="55"/>
      <c r="R35" s="55"/>
      <c r="S35" s="55"/>
      <c r="T35" s="55"/>
      <c r="U35" s="55"/>
      <c r="V35" s="55"/>
      <c r="W35" s="55"/>
      <c r="X35" s="55"/>
      <c r="Y35" s="55"/>
      <c r="Z35" s="55"/>
    </row>
    <row r="36" ht="24.0" customHeight="1">
      <c r="A36" s="55"/>
      <c r="B36" s="62" t="s">
        <v>109</v>
      </c>
      <c r="C36" s="63">
        <v>9.0</v>
      </c>
      <c r="D36" s="64">
        <v>7.0</v>
      </c>
      <c r="E36" s="65"/>
      <c r="F36" s="74">
        <v>2.0</v>
      </c>
      <c r="G36" s="67"/>
      <c r="H36" s="68">
        <f t="shared" si="5"/>
        <v>77.77777778</v>
      </c>
      <c r="I36" s="55"/>
      <c r="J36" s="55"/>
      <c r="K36" s="55"/>
      <c r="L36" s="55"/>
      <c r="M36" s="55"/>
      <c r="N36" s="55"/>
      <c r="O36" s="55"/>
      <c r="P36" s="55"/>
      <c r="Q36" s="55"/>
      <c r="R36" s="55"/>
      <c r="S36" s="55"/>
      <c r="T36" s="55"/>
      <c r="U36" s="55"/>
      <c r="V36" s="55"/>
      <c r="W36" s="55"/>
      <c r="X36" s="55"/>
      <c r="Y36" s="55"/>
      <c r="Z36" s="55"/>
    </row>
    <row r="37" ht="24.0" customHeight="1">
      <c r="A37" s="55"/>
      <c r="B37" s="62" t="s">
        <v>110</v>
      </c>
      <c r="C37" s="63">
        <v>8.0</v>
      </c>
      <c r="D37" s="64">
        <v>8.0</v>
      </c>
      <c r="E37" s="65"/>
      <c r="F37" s="66"/>
      <c r="G37" s="67"/>
      <c r="H37" s="68">
        <f t="shared" si="5"/>
        <v>100</v>
      </c>
      <c r="I37" s="55"/>
      <c r="J37" s="55"/>
      <c r="K37" s="55"/>
      <c r="L37" s="55"/>
      <c r="M37" s="55"/>
      <c r="N37" s="55"/>
      <c r="O37" s="55"/>
      <c r="P37" s="55"/>
      <c r="Q37" s="55"/>
      <c r="R37" s="55"/>
      <c r="S37" s="55"/>
      <c r="T37" s="55"/>
      <c r="U37" s="55"/>
      <c r="V37" s="55"/>
      <c r="W37" s="55"/>
      <c r="X37" s="55"/>
      <c r="Y37" s="55"/>
      <c r="Z37" s="55"/>
    </row>
    <row r="38" ht="24.0" customHeight="1">
      <c r="A38" s="55"/>
      <c r="B38" s="62" t="s">
        <v>111</v>
      </c>
      <c r="C38" s="70" t="s">
        <v>89</v>
      </c>
      <c r="D38" s="71"/>
      <c r="E38" s="65"/>
      <c r="F38" s="66"/>
      <c r="G38" s="67"/>
      <c r="H38" s="68" t="s">
        <v>90</v>
      </c>
      <c r="I38" s="55"/>
      <c r="J38" s="55"/>
      <c r="K38" s="55"/>
      <c r="L38" s="55"/>
      <c r="M38" s="55"/>
      <c r="N38" s="55"/>
      <c r="O38" s="55"/>
      <c r="P38" s="55"/>
      <c r="Q38" s="55"/>
      <c r="R38" s="55"/>
      <c r="S38" s="55"/>
      <c r="T38" s="55"/>
      <c r="U38" s="55"/>
      <c r="V38" s="55"/>
      <c r="W38" s="55"/>
      <c r="X38" s="55"/>
      <c r="Y38" s="55"/>
      <c r="Z38" s="55"/>
    </row>
    <row r="39" ht="24.0" customHeight="1">
      <c r="A39" s="55"/>
      <c r="B39" s="62" t="s">
        <v>112</v>
      </c>
      <c r="C39" s="63">
        <v>4.0</v>
      </c>
      <c r="D39" s="64">
        <v>4.0</v>
      </c>
      <c r="E39" s="65"/>
      <c r="F39" s="66"/>
      <c r="G39" s="67"/>
      <c r="H39" s="68">
        <f>(D39/C39)*100</f>
        <v>100</v>
      </c>
      <c r="I39" s="55"/>
      <c r="J39" s="55"/>
      <c r="K39" s="55"/>
      <c r="L39" s="55"/>
      <c r="M39" s="55"/>
      <c r="N39" s="55"/>
      <c r="O39" s="55"/>
      <c r="P39" s="55"/>
      <c r="Q39" s="55"/>
      <c r="R39" s="55"/>
      <c r="S39" s="55"/>
      <c r="T39" s="55"/>
      <c r="U39" s="55"/>
      <c r="V39" s="55"/>
      <c r="W39" s="55"/>
      <c r="X39" s="55"/>
      <c r="Y39" s="55"/>
      <c r="Z39" s="55"/>
    </row>
    <row r="40" ht="24.0" customHeight="1">
      <c r="A40" s="55"/>
      <c r="B40" s="62" t="s">
        <v>113</v>
      </c>
      <c r="C40" s="70" t="s">
        <v>89</v>
      </c>
      <c r="D40" s="71"/>
      <c r="E40" s="65"/>
      <c r="F40" s="66"/>
      <c r="G40" s="67"/>
      <c r="H40" s="68" t="s">
        <v>90</v>
      </c>
      <c r="I40" s="55"/>
      <c r="J40" s="55"/>
      <c r="K40" s="55"/>
      <c r="L40" s="55"/>
      <c r="M40" s="55"/>
      <c r="N40" s="55"/>
      <c r="O40" s="55"/>
      <c r="P40" s="55"/>
      <c r="Q40" s="55"/>
      <c r="R40" s="55"/>
      <c r="S40" s="55"/>
      <c r="T40" s="55"/>
      <c r="U40" s="55"/>
      <c r="V40" s="55"/>
      <c r="W40" s="55"/>
      <c r="X40" s="55"/>
      <c r="Y40" s="55"/>
      <c r="Z40" s="55"/>
    </row>
    <row r="41" ht="24.0" customHeight="1">
      <c r="A41" s="55"/>
      <c r="B41" s="72" t="s">
        <v>114</v>
      </c>
      <c r="C41" s="25"/>
      <c r="D41" s="25"/>
      <c r="E41" s="25"/>
      <c r="F41" s="25"/>
      <c r="G41" s="26"/>
      <c r="H41" s="69">
        <f>SUM(H42:H43)/2</f>
        <v>100</v>
      </c>
      <c r="I41" s="55"/>
      <c r="J41" s="55"/>
      <c r="K41" s="55"/>
      <c r="L41" s="55"/>
      <c r="M41" s="55"/>
      <c r="N41" s="55"/>
      <c r="O41" s="55"/>
      <c r="P41" s="55"/>
      <c r="Q41" s="55"/>
      <c r="R41" s="55"/>
      <c r="S41" s="55"/>
      <c r="T41" s="55"/>
      <c r="U41" s="55"/>
      <c r="V41" s="55"/>
      <c r="W41" s="55"/>
      <c r="X41" s="55"/>
      <c r="Y41" s="55"/>
      <c r="Z41" s="55"/>
    </row>
    <row r="42" ht="24.0" customHeight="1">
      <c r="A42" s="55"/>
      <c r="B42" s="62" t="s">
        <v>115</v>
      </c>
      <c r="C42" s="63">
        <v>7.0</v>
      </c>
      <c r="D42" s="64">
        <v>7.0</v>
      </c>
      <c r="E42" s="65"/>
      <c r="F42" s="66"/>
      <c r="G42" s="73">
        <v>1.0</v>
      </c>
      <c r="H42" s="68">
        <f t="shared" ref="H42:H43" si="6">(D42/C42)*100</f>
        <v>100</v>
      </c>
      <c r="I42" s="55"/>
      <c r="J42" s="55"/>
      <c r="K42" s="55"/>
      <c r="L42" s="55"/>
      <c r="M42" s="55"/>
      <c r="N42" s="55"/>
      <c r="O42" s="55"/>
      <c r="P42" s="55"/>
      <c r="Q42" s="55"/>
      <c r="R42" s="55"/>
      <c r="S42" s="55"/>
      <c r="T42" s="55"/>
      <c r="U42" s="55"/>
      <c r="V42" s="55"/>
      <c r="W42" s="55"/>
      <c r="X42" s="55"/>
      <c r="Y42" s="55"/>
      <c r="Z42" s="55"/>
    </row>
    <row r="43" ht="24.0" customHeight="1">
      <c r="A43" s="55"/>
      <c r="B43" s="62" t="s">
        <v>116</v>
      </c>
      <c r="C43" s="63">
        <v>7.0</v>
      </c>
      <c r="D43" s="64">
        <v>7.0</v>
      </c>
      <c r="E43" s="65"/>
      <c r="F43" s="66"/>
      <c r="G43" s="67"/>
      <c r="H43" s="68">
        <f t="shared" si="6"/>
        <v>100</v>
      </c>
      <c r="I43" s="55"/>
      <c r="J43" s="55"/>
      <c r="K43" s="55"/>
      <c r="L43" s="55"/>
      <c r="M43" s="55"/>
      <c r="N43" s="55"/>
      <c r="O43" s="55"/>
      <c r="P43" s="55"/>
      <c r="Q43" s="55"/>
      <c r="R43" s="55"/>
      <c r="S43" s="55"/>
      <c r="T43" s="55"/>
      <c r="U43" s="55"/>
      <c r="V43" s="55"/>
      <c r="W43" s="55"/>
      <c r="X43" s="55"/>
      <c r="Y43" s="55"/>
      <c r="Z43" s="55"/>
    </row>
    <row r="44" ht="24.0" customHeight="1">
      <c r="A44" s="55"/>
      <c r="B44" s="72" t="s">
        <v>117</v>
      </c>
      <c r="C44" s="25"/>
      <c r="D44" s="25"/>
      <c r="E44" s="25"/>
      <c r="F44" s="25"/>
      <c r="G44" s="26"/>
      <c r="H44" s="69">
        <f>SUM(H45:H46)/2</f>
        <v>100</v>
      </c>
      <c r="I44" s="55"/>
      <c r="J44" s="55"/>
      <c r="K44" s="55"/>
      <c r="L44" s="55"/>
      <c r="M44" s="55"/>
      <c r="N44" s="55"/>
      <c r="O44" s="55"/>
      <c r="P44" s="55"/>
      <c r="Q44" s="55"/>
      <c r="R44" s="55"/>
      <c r="S44" s="55"/>
      <c r="T44" s="55"/>
      <c r="U44" s="55"/>
      <c r="V44" s="55"/>
      <c r="W44" s="55"/>
      <c r="X44" s="55"/>
      <c r="Y44" s="55"/>
      <c r="Z44" s="55"/>
    </row>
    <row r="45" ht="24.0" customHeight="1">
      <c r="A45" s="55"/>
      <c r="B45" s="62" t="s">
        <v>118</v>
      </c>
      <c r="C45" s="63">
        <v>7.0</v>
      </c>
      <c r="D45" s="64">
        <v>7.0</v>
      </c>
      <c r="E45" s="65"/>
      <c r="F45" s="66"/>
      <c r="G45" s="67"/>
      <c r="H45" s="68">
        <f t="shared" ref="H45:H46" si="7">(D45/C45)*100</f>
        <v>100</v>
      </c>
      <c r="I45" s="55"/>
      <c r="J45" s="55"/>
      <c r="K45" s="55"/>
      <c r="L45" s="55"/>
      <c r="M45" s="55"/>
      <c r="N45" s="55"/>
      <c r="O45" s="55"/>
      <c r="P45" s="55"/>
      <c r="Q45" s="55"/>
      <c r="R45" s="55"/>
      <c r="S45" s="55"/>
      <c r="T45" s="55"/>
      <c r="U45" s="55"/>
      <c r="V45" s="55"/>
      <c r="W45" s="55"/>
      <c r="X45" s="55"/>
      <c r="Y45" s="55"/>
      <c r="Z45" s="55"/>
    </row>
    <row r="46" ht="24.0" customHeight="1">
      <c r="A46" s="55"/>
      <c r="B46" s="62" t="s">
        <v>119</v>
      </c>
      <c r="C46" s="63">
        <v>7.0</v>
      </c>
      <c r="D46" s="64">
        <v>7.0</v>
      </c>
      <c r="E46" s="65"/>
      <c r="F46" s="66"/>
      <c r="G46" s="67"/>
      <c r="H46" s="68">
        <f t="shared" si="7"/>
        <v>100</v>
      </c>
      <c r="I46" s="55"/>
      <c r="J46" s="55"/>
      <c r="K46" s="55"/>
      <c r="L46" s="55"/>
      <c r="M46" s="55"/>
      <c r="N46" s="55"/>
      <c r="O46" s="55"/>
      <c r="P46" s="55"/>
      <c r="Q46" s="55"/>
      <c r="R46" s="55"/>
      <c r="S46" s="55"/>
      <c r="T46" s="55"/>
      <c r="U46" s="55"/>
      <c r="V46" s="55"/>
      <c r="W46" s="55"/>
      <c r="X46" s="55"/>
      <c r="Y46" s="55"/>
      <c r="Z46" s="55"/>
    </row>
    <row r="47" ht="24.0" customHeight="1">
      <c r="A47" s="55"/>
      <c r="B47" s="55"/>
      <c r="C47" s="56"/>
      <c r="D47" s="55"/>
      <c r="E47" s="55"/>
      <c r="F47" s="55"/>
      <c r="G47" s="55"/>
      <c r="H47" s="55"/>
      <c r="I47" s="55"/>
      <c r="J47" s="55"/>
      <c r="K47" s="55"/>
      <c r="L47" s="55"/>
      <c r="M47" s="55"/>
      <c r="N47" s="55"/>
      <c r="O47" s="55"/>
      <c r="P47" s="55"/>
      <c r="Q47" s="55"/>
      <c r="R47" s="55"/>
      <c r="S47" s="55"/>
      <c r="T47" s="55"/>
      <c r="U47" s="55"/>
      <c r="V47" s="55"/>
      <c r="W47" s="55"/>
      <c r="X47" s="55"/>
      <c r="Y47" s="55"/>
      <c r="Z47" s="55"/>
    </row>
    <row r="48" ht="24.0" customHeight="1">
      <c r="A48" s="55"/>
      <c r="B48" s="75" t="s">
        <v>73</v>
      </c>
      <c r="C48" s="76">
        <f>C46+C45+C43+C42+C39+C37+C36+C35+C34+C33+C32+C31+C30+C29+C28+C27+C26+C25+C23+C22+C20+C18+C16+C15+C13+C12+C11+C10+C8+C7+C6</f>
        <v>186</v>
      </c>
      <c r="D48" s="71">
        <f t="shared" ref="D48:G48" si="8">D46+D45+D43+D42+D39+D38+D37+D36+D35+D34+D33+D32+D31+D30+D29+D28+D27+D26+D25+D23+D22+D20+D18+D17+D16+D15+D13+D12+D11+D10+D8+D7+D6</f>
        <v>172</v>
      </c>
      <c r="E48" s="65">
        <f t="shared" si="8"/>
        <v>0</v>
      </c>
      <c r="F48" s="66">
        <f t="shared" si="8"/>
        <v>7</v>
      </c>
      <c r="G48" s="67">
        <f t="shared" si="8"/>
        <v>8</v>
      </c>
      <c r="H48" s="55"/>
      <c r="I48" s="55"/>
      <c r="J48" s="55"/>
      <c r="K48" s="55"/>
      <c r="L48" s="55"/>
      <c r="M48" s="55"/>
      <c r="N48" s="55"/>
      <c r="O48" s="55"/>
      <c r="P48" s="55"/>
      <c r="Q48" s="55"/>
      <c r="R48" s="55"/>
      <c r="S48" s="55"/>
      <c r="T48" s="55"/>
      <c r="U48" s="55"/>
      <c r="V48" s="55"/>
      <c r="W48" s="55"/>
      <c r="X48" s="55"/>
      <c r="Y48" s="55"/>
      <c r="Z48" s="55"/>
    </row>
    <row r="49" ht="24.0" customHeight="1">
      <c r="A49" s="55"/>
      <c r="B49" s="55"/>
      <c r="C49" s="56"/>
      <c r="D49" s="55"/>
      <c r="E49" s="55"/>
      <c r="F49" s="55"/>
      <c r="G49" s="55"/>
      <c r="H49" s="55"/>
      <c r="I49" s="55"/>
      <c r="J49" s="55"/>
      <c r="K49" s="55"/>
      <c r="L49" s="55"/>
      <c r="M49" s="55"/>
      <c r="N49" s="55"/>
      <c r="O49" s="55"/>
      <c r="P49" s="55"/>
      <c r="Q49" s="55"/>
      <c r="R49" s="55"/>
      <c r="S49" s="55"/>
      <c r="T49" s="55"/>
      <c r="U49" s="55"/>
      <c r="V49" s="55"/>
      <c r="W49" s="55"/>
      <c r="X49" s="55"/>
      <c r="Y49" s="55"/>
      <c r="Z49" s="55"/>
    </row>
    <row r="50" ht="24.0" customHeight="1">
      <c r="A50" s="55"/>
      <c r="B50" s="55"/>
      <c r="C50" s="77" t="s">
        <v>120</v>
      </c>
      <c r="D50" s="78">
        <f>(D48/C48)*100</f>
        <v>92.47311828</v>
      </c>
      <c r="E50" s="55"/>
      <c r="F50" s="55"/>
      <c r="G50" s="55"/>
      <c r="H50" s="55"/>
      <c r="I50" s="55"/>
      <c r="J50" s="55"/>
      <c r="K50" s="55"/>
      <c r="L50" s="55"/>
      <c r="M50" s="55"/>
      <c r="N50" s="55"/>
      <c r="O50" s="55"/>
      <c r="P50" s="55"/>
      <c r="Q50" s="55"/>
      <c r="R50" s="55"/>
      <c r="S50" s="55"/>
      <c r="T50" s="55"/>
      <c r="U50" s="55"/>
      <c r="V50" s="55"/>
      <c r="W50" s="55"/>
      <c r="X50" s="55"/>
      <c r="Y50" s="55"/>
      <c r="Z50" s="55"/>
    </row>
    <row r="51" ht="24.0" customHeight="1">
      <c r="A51" s="55"/>
      <c r="B51" s="55"/>
      <c r="C51" s="56"/>
      <c r="D51" s="55"/>
      <c r="E51" s="55"/>
      <c r="F51" s="55"/>
      <c r="G51" s="55"/>
      <c r="H51" s="55"/>
      <c r="I51" s="55"/>
      <c r="J51" s="55"/>
      <c r="K51" s="55"/>
      <c r="L51" s="55"/>
      <c r="M51" s="55"/>
      <c r="N51" s="55"/>
      <c r="O51" s="55"/>
      <c r="P51" s="55"/>
      <c r="Q51" s="55"/>
      <c r="R51" s="55"/>
      <c r="S51" s="55"/>
      <c r="T51" s="55"/>
      <c r="U51" s="55"/>
      <c r="V51" s="55"/>
      <c r="W51" s="55"/>
      <c r="X51" s="55"/>
      <c r="Y51" s="55"/>
      <c r="Z51" s="55"/>
    </row>
    <row r="52" ht="24.0" customHeight="1">
      <c r="A52" s="55"/>
      <c r="B52" s="55"/>
      <c r="C52" s="56"/>
      <c r="D52" s="55"/>
      <c r="E52" s="55"/>
      <c r="F52" s="55"/>
      <c r="G52" s="55"/>
      <c r="H52" s="55"/>
      <c r="I52" s="55"/>
      <c r="J52" s="55"/>
      <c r="K52" s="55"/>
      <c r="L52" s="55"/>
      <c r="M52" s="55"/>
      <c r="N52" s="55"/>
      <c r="O52" s="55"/>
      <c r="P52" s="55"/>
      <c r="Q52" s="55"/>
      <c r="R52" s="55"/>
      <c r="S52" s="55"/>
      <c r="T52" s="55"/>
      <c r="U52" s="55"/>
      <c r="V52" s="55"/>
      <c r="W52" s="55"/>
      <c r="X52" s="55"/>
      <c r="Y52" s="55"/>
      <c r="Z52" s="55"/>
    </row>
    <row r="53" ht="24.0" customHeight="1">
      <c r="A53" s="55"/>
      <c r="B53" s="55"/>
      <c r="C53" s="56"/>
      <c r="D53" s="55"/>
      <c r="E53" s="55"/>
      <c r="F53" s="55"/>
      <c r="G53" s="55"/>
      <c r="H53" s="55"/>
      <c r="I53" s="55"/>
      <c r="J53" s="55"/>
      <c r="K53" s="55"/>
      <c r="L53" s="55"/>
      <c r="M53" s="55"/>
      <c r="N53" s="55"/>
      <c r="O53" s="55"/>
      <c r="P53" s="55"/>
      <c r="Q53" s="55"/>
      <c r="R53" s="55"/>
      <c r="S53" s="55"/>
      <c r="T53" s="55"/>
      <c r="U53" s="55"/>
      <c r="V53" s="55"/>
      <c r="W53" s="55"/>
      <c r="X53" s="55"/>
      <c r="Y53" s="55"/>
      <c r="Z53" s="55"/>
    </row>
    <row r="54" ht="24.0" customHeight="1">
      <c r="A54" s="55"/>
      <c r="B54" s="55"/>
      <c r="C54" s="56"/>
      <c r="D54" s="55"/>
      <c r="E54" s="55"/>
      <c r="F54" s="55"/>
      <c r="G54" s="55"/>
      <c r="H54" s="55"/>
      <c r="I54" s="55"/>
      <c r="J54" s="55"/>
      <c r="K54" s="55"/>
      <c r="L54" s="55"/>
      <c r="M54" s="55"/>
      <c r="N54" s="55"/>
      <c r="O54" s="55"/>
      <c r="P54" s="55"/>
      <c r="Q54" s="55"/>
      <c r="R54" s="55"/>
      <c r="S54" s="55"/>
      <c r="T54" s="55"/>
      <c r="U54" s="55"/>
      <c r="V54" s="55"/>
      <c r="W54" s="55"/>
      <c r="X54" s="55"/>
      <c r="Y54" s="55"/>
      <c r="Z54" s="55"/>
    </row>
    <row r="55" ht="24.0" customHeight="1">
      <c r="A55" s="55"/>
      <c r="B55" s="55"/>
      <c r="C55" s="56"/>
      <c r="D55" s="55"/>
      <c r="E55" s="55"/>
      <c r="F55" s="55"/>
      <c r="G55" s="55"/>
      <c r="H55" s="55"/>
      <c r="I55" s="55"/>
      <c r="J55" s="55"/>
      <c r="K55" s="55"/>
      <c r="L55" s="55"/>
      <c r="M55" s="55"/>
      <c r="N55" s="55"/>
      <c r="O55" s="55"/>
      <c r="P55" s="55"/>
      <c r="Q55" s="55"/>
      <c r="R55" s="55"/>
      <c r="S55" s="55"/>
      <c r="T55" s="55"/>
      <c r="U55" s="55"/>
      <c r="V55" s="55"/>
      <c r="W55" s="55"/>
      <c r="X55" s="55"/>
      <c r="Y55" s="55"/>
      <c r="Z55" s="55"/>
    </row>
    <row r="56" ht="24.0" customHeight="1">
      <c r="A56" s="55"/>
      <c r="B56" s="55"/>
      <c r="C56" s="56"/>
      <c r="D56" s="55"/>
      <c r="E56" s="55"/>
      <c r="F56" s="55"/>
      <c r="G56" s="55"/>
      <c r="H56" s="55"/>
      <c r="I56" s="55"/>
      <c r="J56" s="55"/>
      <c r="K56" s="55"/>
      <c r="L56" s="55"/>
      <c r="M56" s="55"/>
      <c r="N56" s="55"/>
      <c r="O56" s="55"/>
      <c r="P56" s="55"/>
      <c r="Q56" s="55"/>
      <c r="R56" s="55"/>
      <c r="S56" s="55"/>
      <c r="T56" s="55"/>
      <c r="U56" s="55"/>
      <c r="V56" s="55"/>
      <c r="W56" s="55"/>
      <c r="X56" s="55"/>
      <c r="Y56" s="55"/>
      <c r="Z56" s="55"/>
    </row>
    <row r="57" ht="24.0" customHeight="1">
      <c r="A57" s="55"/>
      <c r="B57" s="55"/>
      <c r="C57" s="56"/>
      <c r="D57" s="55"/>
      <c r="E57" s="55"/>
      <c r="F57" s="55"/>
      <c r="G57" s="55"/>
      <c r="H57" s="55"/>
      <c r="I57" s="55"/>
      <c r="J57" s="55"/>
      <c r="K57" s="55"/>
      <c r="L57" s="55"/>
      <c r="M57" s="55"/>
      <c r="N57" s="55"/>
      <c r="O57" s="55"/>
      <c r="P57" s="55"/>
      <c r="Q57" s="55"/>
      <c r="R57" s="55"/>
      <c r="S57" s="55"/>
      <c r="T57" s="55"/>
      <c r="U57" s="55"/>
      <c r="V57" s="55"/>
      <c r="W57" s="55"/>
      <c r="X57" s="55"/>
      <c r="Y57" s="55"/>
      <c r="Z57" s="55"/>
    </row>
    <row r="58" ht="24.0" customHeight="1">
      <c r="A58" s="55"/>
      <c r="B58" s="55"/>
      <c r="C58" s="56"/>
      <c r="D58" s="55"/>
      <c r="E58" s="55"/>
      <c r="F58" s="55"/>
      <c r="G58" s="55"/>
      <c r="H58" s="55"/>
      <c r="I58" s="55"/>
      <c r="J58" s="55"/>
      <c r="K58" s="55"/>
      <c r="L58" s="55"/>
      <c r="M58" s="55"/>
      <c r="N58" s="55"/>
      <c r="O58" s="55"/>
      <c r="P58" s="55"/>
      <c r="Q58" s="55"/>
      <c r="R58" s="55"/>
      <c r="S58" s="55"/>
      <c r="T58" s="55"/>
      <c r="U58" s="55"/>
      <c r="V58" s="55"/>
      <c r="W58" s="55"/>
      <c r="X58" s="55"/>
      <c r="Y58" s="55"/>
      <c r="Z58" s="55"/>
    </row>
    <row r="59" ht="24.0" customHeight="1">
      <c r="A59" s="55"/>
      <c r="B59" s="55"/>
      <c r="C59" s="56"/>
      <c r="D59" s="55"/>
      <c r="E59" s="55"/>
      <c r="F59" s="55"/>
      <c r="G59" s="55"/>
      <c r="H59" s="55"/>
      <c r="I59" s="55"/>
      <c r="J59" s="55"/>
      <c r="K59" s="55"/>
      <c r="L59" s="55"/>
      <c r="M59" s="55"/>
      <c r="N59" s="55"/>
      <c r="O59" s="55"/>
      <c r="P59" s="55"/>
      <c r="Q59" s="55"/>
      <c r="R59" s="55"/>
      <c r="S59" s="55"/>
      <c r="T59" s="55"/>
      <c r="U59" s="55"/>
      <c r="V59" s="55"/>
      <c r="W59" s="55"/>
      <c r="X59" s="55"/>
      <c r="Y59" s="55"/>
      <c r="Z59" s="55"/>
    </row>
    <row r="60" ht="24.0" customHeight="1">
      <c r="A60" s="55"/>
      <c r="B60" s="55"/>
      <c r="C60" s="56"/>
      <c r="D60" s="55"/>
      <c r="E60" s="55"/>
      <c r="F60" s="55"/>
      <c r="G60" s="55"/>
      <c r="H60" s="55"/>
      <c r="I60" s="55"/>
      <c r="J60" s="55"/>
      <c r="K60" s="55"/>
      <c r="L60" s="55"/>
      <c r="M60" s="55"/>
      <c r="N60" s="55"/>
      <c r="O60" s="55"/>
      <c r="P60" s="55"/>
      <c r="Q60" s="55"/>
      <c r="R60" s="55"/>
      <c r="S60" s="55"/>
      <c r="T60" s="55"/>
      <c r="U60" s="55"/>
      <c r="V60" s="55"/>
      <c r="W60" s="55"/>
      <c r="X60" s="55"/>
      <c r="Y60" s="55"/>
      <c r="Z60" s="55"/>
    </row>
    <row r="61" ht="24.0" customHeight="1">
      <c r="A61" s="55"/>
      <c r="B61" s="55"/>
      <c r="C61" s="56"/>
      <c r="D61" s="55"/>
      <c r="E61" s="55"/>
      <c r="F61" s="55"/>
      <c r="G61" s="55"/>
      <c r="H61" s="55"/>
      <c r="I61" s="55"/>
      <c r="J61" s="55"/>
      <c r="K61" s="55"/>
      <c r="L61" s="55"/>
      <c r="M61" s="55"/>
      <c r="N61" s="55"/>
      <c r="O61" s="55"/>
      <c r="P61" s="55"/>
      <c r="Q61" s="55"/>
      <c r="R61" s="55"/>
      <c r="S61" s="55"/>
      <c r="T61" s="55"/>
      <c r="U61" s="55"/>
      <c r="V61" s="55"/>
      <c r="W61" s="55"/>
      <c r="X61" s="55"/>
      <c r="Y61" s="55"/>
      <c r="Z61" s="55"/>
    </row>
    <row r="62" ht="24.0" customHeight="1">
      <c r="A62" s="55"/>
      <c r="B62" s="55"/>
      <c r="C62" s="56"/>
      <c r="D62" s="55"/>
      <c r="E62" s="55"/>
      <c r="F62" s="55"/>
      <c r="G62" s="55"/>
      <c r="H62" s="55"/>
      <c r="I62" s="55"/>
      <c r="J62" s="55"/>
      <c r="K62" s="55"/>
      <c r="L62" s="55"/>
      <c r="M62" s="55"/>
      <c r="N62" s="55"/>
      <c r="O62" s="55"/>
      <c r="P62" s="55"/>
      <c r="Q62" s="55"/>
      <c r="R62" s="55"/>
      <c r="S62" s="55"/>
      <c r="T62" s="55"/>
      <c r="U62" s="55"/>
      <c r="V62" s="55"/>
      <c r="W62" s="55"/>
      <c r="X62" s="55"/>
      <c r="Y62" s="55"/>
      <c r="Z62" s="55"/>
    </row>
    <row r="63" ht="24.0" customHeight="1">
      <c r="A63" s="55"/>
      <c r="B63" s="55"/>
      <c r="C63" s="56"/>
      <c r="D63" s="55"/>
      <c r="E63" s="55"/>
      <c r="F63" s="55"/>
      <c r="G63" s="55"/>
      <c r="H63" s="55"/>
      <c r="I63" s="55"/>
      <c r="J63" s="55"/>
      <c r="K63" s="55"/>
      <c r="L63" s="55"/>
      <c r="M63" s="55"/>
      <c r="N63" s="55"/>
      <c r="O63" s="55"/>
      <c r="P63" s="55"/>
      <c r="Q63" s="55"/>
      <c r="R63" s="55"/>
      <c r="S63" s="55"/>
      <c r="T63" s="55"/>
      <c r="U63" s="55"/>
      <c r="V63" s="55"/>
      <c r="W63" s="55"/>
      <c r="X63" s="55"/>
      <c r="Y63" s="55"/>
      <c r="Z63" s="55"/>
    </row>
    <row r="64" ht="24.0" customHeight="1">
      <c r="A64" s="55"/>
      <c r="B64" s="55"/>
      <c r="C64" s="56"/>
      <c r="D64" s="55"/>
      <c r="E64" s="55"/>
      <c r="F64" s="55"/>
      <c r="G64" s="55"/>
      <c r="H64" s="55"/>
      <c r="I64" s="55"/>
      <c r="J64" s="55"/>
      <c r="K64" s="55"/>
      <c r="L64" s="55"/>
      <c r="M64" s="55"/>
      <c r="N64" s="55"/>
      <c r="O64" s="55"/>
      <c r="P64" s="55"/>
      <c r="Q64" s="55"/>
      <c r="R64" s="55"/>
      <c r="S64" s="55"/>
      <c r="T64" s="55"/>
      <c r="U64" s="55"/>
      <c r="V64" s="55"/>
      <c r="W64" s="55"/>
      <c r="X64" s="55"/>
      <c r="Y64" s="55"/>
      <c r="Z64" s="55"/>
    </row>
    <row r="65" ht="24.0" customHeight="1">
      <c r="A65" s="55"/>
      <c r="B65" s="55"/>
      <c r="C65" s="56"/>
      <c r="D65" s="55"/>
      <c r="E65" s="55"/>
      <c r="F65" s="55"/>
      <c r="G65" s="55"/>
      <c r="H65" s="55"/>
      <c r="I65" s="55"/>
      <c r="J65" s="55"/>
      <c r="K65" s="55"/>
      <c r="L65" s="55"/>
      <c r="M65" s="55"/>
      <c r="N65" s="55"/>
      <c r="O65" s="55"/>
      <c r="P65" s="55"/>
      <c r="Q65" s="55"/>
      <c r="R65" s="55"/>
      <c r="S65" s="55"/>
      <c r="T65" s="55"/>
      <c r="U65" s="55"/>
      <c r="V65" s="55"/>
      <c r="W65" s="55"/>
      <c r="X65" s="55"/>
      <c r="Y65" s="55"/>
      <c r="Z65" s="55"/>
    </row>
    <row r="66" ht="24.0" customHeight="1">
      <c r="A66" s="55"/>
      <c r="B66" s="55"/>
      <c r="C66" s="56"/>
      <c r="D66" s="55"/>
      <c r="E66" s="55"/>
      <c r="F66" s="55"/>
      <c r="G66" s="55"/>
      <c r="H66" s="55"/>
      <c r="I66" s="55"/>
      <c r="J66" s="55"/>
      <c r="K66" s="55"/>
      <c r="L66" s="55"/>
      <c r="M66" s="55"/>
      <c r="N66" s="55"/>
      <c r="O66" s="55"/>
      <c r="P66" s="55"/>
      <c r="Q66" s="55"/>
      <c r="R66" s="55"/>
      <c r="S66" s="55"/>
      <c r="T66" s="55"/>
      <c r="U66" s="55"/>
      <c r="V66" s="55"/>
      <c r="W66" s="55"/>
      <c r="X66" s="55"/>
      <c r="Y66" s="55"/>
      <c r="Z66" s="55"/>
    </row>
    <row r="67" ht="24.0" customHeight="1">
      <c r="A67" s="55"/>
      <c r="B67" s="55"/>
      <c r="C67" s="56"/>
      <c r="D67" s="55"/>
      <c r="E67" s="55"/>
      <c r="F67" s="55"/>
      <c r="G67" s="55"/>
      <c r="H67" s="55"/>
      <c r="I67" s="55"/>
      <c r="J67" s="55"/>
      <c r="K67" s="55"/>
      <c r="L67" s="55"/>
      <c r="M67" s="55"/>
      <c r="N67" s="55"/>
      <c r="O67" s="55"/>
      <c r="P67" s="55"/>
      <c r="Q67" s="55"/>
      <c r="R67" s="55"/>
      <c r="S67" s="55"/>
      <c r="T67" s="55"/>
      <c r="U67" s="55"/>
      <c r="V67" s="55"/>
      <c r="W67" s="55"/>
      <c r="X67" s="55"/>
      <c r="Y67" s="55"/>
      <c r="Z67" s="55"/>
    </row>
    <row r="68" ht="24.0" customHeight="1">
      <c r="A68" s="55"/>
      <c r="B68" s="55"/>
      <c r="C68" s="56"/>
      <c r="D68" s="55"/>
      <c r="E68" s="55"/>
      <c r="F68" s="55"/>
      <c r="G68" s="55"/>
      <c r="H68" s="55"/>
      <c r="I68" s="55"/>
      <c r="J68" s="55"/>
      <c r="K68" s="55"/>
      <c r="L68" s="55"/>
      <c r="M68" s="55"/>
      <c r="N68" s="55"/>
      <c r="O68" s="55"/>
      <c r="P68" s="55"/>
      <c r="Q68" s="55"/>
      <c r="R68" s="55"/>
      <c r="S68" s="55"/>
      <c r="T68" s="55"/>
      <c r="U68" s="55"/>
      <c r="V68" s="55"/>
      <c r="W68" s="55"/>
      <c r="X68" s="55"/>
      <c r="Y68" s="55"/>
      <c r="Z68" s="55"/>
    </row>
    <row r="69" ht="24.0" customHeight="1">
      <c r="A69" s="55"/>
      <c r="B69" s="55"/>
      <c r="C69" s="56"/>
      <c r="D69" s="55"/>
      <c r="E69" s="55"/>
      <c r="F69" s="55"/>
      <c r="G69" s="55"/>
      <c r="H69" s="55"/>
      <c r="I69" s="55"/>
      <c r="J69" s="55"/>
      <c r="K69" s="55"/>
      <c r="L69" s="55"/>
      <c r="M69" s="55"/>
      <c r="N69" s="55"/>
      <c r="O69" s="55"/>
      <c r="P69" s="55"/>
      <c r="Q69" s="55"/>
      <c r="R69" s="55"/>
      <c r="S69" s="55"/>
      <c r="T69" s="55"/>
      <c r="U69" s="55"/>
      <c r="V69" s="55"/>
      <c r="W69" s="55"/>
      <c r="X69" s="55"/>
      <c r="Y69" s="55"/>
      <c r="Z69" s="55"/>
    </row>
    <row r="70" ht="24.0" customHeight="1">
      <c r="A70" s="55"/>
      <c r="B70" s="55"/>
      <c r="C70" s="56"/>
      <c r="D70" s="55"/>
      <c r="E70" s="55"/>
      <c r="F70" s="55"/>
      <c r="G70" s="55"/>
      <c r="H70" s="55"/>
      <c r="I70" s="55"/>
      <c r="J70" s="55"/>
      <c r="K70" s="55"/>
      <c r="L70" s="55"/>
      <c r="M70" s="55"/>
      <c r="N70" s="55"/>
      <c r="O70" s="55"/>
      <c r="P70" s="55"/>
      <c r="Q70" s="55"/>
      <c r="R70" s="55"/>
      <c r="S70" s="55"/>
      <c r="T70" s="55"/>
      <c r="U70" s="55"/>
      <c r="V70" s="55"/>
      <c r="W70" s="55"/>
      <c r="X70" s="55"/>
      <c r="Y70" s="55"/>
      <c r="Z70" s="55"/>
    </row>
    <row r="71" ht="24.0" customHeight="1">
      <c r="A71" s="55"/>
      <c r="B71" s="55"/>
      <c r="C71" s="56"/>
      <c r="D71" s="55"/>
      <c r="E71" s="55"/>
      <c r="F71" s="55"/>
      <c r="G71" s="55"/>
      <c r="H71" s="55"/>
      <c r="I71" s="55"/>
      <c r="J71" s="55"/>
      <c r="K71" s="55"/>
      <c r="L71" s="55"/>
      <c r="M71" s="55"/>
      <c r="N71" s="55"/>
      <c r="O71" s="55"/>
      <c r="P71" s="55"/>
      <c r="Q71" s="55"/>
      <c r="R71" s="55"/>
      <c r="S71" s="55"/>
      <c r="T71" s="55"/>
      <c r="U71" s="55"/>
      <c r="V71" s="55"/>
      <c r="W71" s="55"/>
      <c r="X71" s="55"/>
      <c r="Y71" s="55"/>
      <c r="Z71" s="55"/>
    </row>
    <row r="72" ht="24.0" customHeight="1">
      <c r="A72" s="55"/>
      <c r="B72" s="55"/>
      <c r="C72" s="56"/>
      <c r="D72" s="55"/>
      <c r="E72" s="55"/>
      <c r="F72" s="55"/>
      <c r="G72" s="55"/>
      <c r="H72" s="55"/>
      <c r="I72" s="55"/>
      <c r="J72" s="55"/>
      <c r="K72" s="55"/>
      <c r="L72" s="55"/>
      <c r="M72" s="55"/>
      <c r="N72" s="55"/>
      <c r="O72" s="55"/>
      <c r="P72" s="55"/>
      <c r="Q72" s="55"/>
      <c r="R72" s="55"/>
      <c r="S72" s="55"/>
      <c r="T72" s="55"/>
      <c r="U72" s="55"/>
      <c r="V72" s="55"/>
      <c r="W72" s="55"/>
      <c r="X72" s="55"/>
      <c r="Y72" s="55"/>
      <c r="Z72" s="55"/>
    </row>
    <row r="73" ht="24.0" customHeight="1">
      <c r="A73" s="55"/>
      <c r="B73" s="55"/>
      <c r="C73" s="56"/>
      <c r="D73" s="55"/>
      <c r="E73" s="55"/>
      <c r="F73" s="55"/>
      <c r="G73" s="55"/>
      <c r="H73" s="55"/>
      <c r="I73" s="55"/>
      <c r="J73" s="55"/>
      <c r="K73" s="55"/>
      <c r="L73" s="55"/>
      <c r="M73" s="55"/>
      <c r="N73" s="55"/>
      <c r="O73" s="55"/>
      <c r="P73" s="55"/>
      <c r="Q73" s="55"/>
      <c r="R73" s="55"/>
      <c r="S73" s="55"/>
      <c r="T73" s="55"/>
      <c r="U73" s="55"/>
      <c r="V73" s="55"/>
      <c r="W73" s="55"/>
      <c r="X73" s="55"/>
      <c r="Y73" s="55"/>
      <c r="Z73" s="55"/>
    </row>
    <row r="74" ht="24.0" customHeight="1">
      <c r="A74" s="55"/>
      <c r="B74" s="55"/>
      <c r="C74" s="56"/>
      <c r="D74" s="55"/>
      <c r="E74" s="55"/>
      <c r="F74" s="55"/>
      <c r="G74" s="55"/>
      <c r="H74" s="55"/>
      <c r="I74" s="55"/>
      <c r="J74" s="55"/>
      <c r="K74" s="55"/>
      <c r="L74" s="55"/>
      <c r="M74" s="55"/>
      <c r="N74" s="55"/>
      <c r="O74" s="55"/>
      <c r="P74" s="55"/>
      <c r="Q74" s="55"/>
      <c r="R74" s="55"/>
      <c r="S74" s="55"/>
      <c r="T74" s="55"/>
      <c r="U74" s="55"/>
      <c r="V74" s="55"/>
      <c r="W74" s="55"/>
      <c r="X74" s="55"/>
      <c r="Y74" s="55"/>
      <c r="Z74" s="55"/>
    </row>
    <row r="75" ht="24.0" customHeight="1">
      <c r="A75" s="55"/>
      <c r="B75" s="55"/>
      <c r="C75" s="56"/>
      <c r="D75" s="55"/>
      <c r="E75" s="55"/>
      <c r="F75" s="55"/>
      <c r="G75" s="55"/>
      <c r="H75" s="55"/>
      <c r="I75" s="55"/>
      <c r="J75" s="55"/>
      <c r="K75" s="55"/>
      <c r="L75" s="55"/>
      <c r="M75" s="55"/>
      <c r="N75" s="55"/>
      <c r="O75" s="55"/>
      <c r="P75" s="55"/>
      <c r="Q75" s="55"/>
      <c r="R75" s="55"/>
      <c r="S75" s="55"/>
      <c r="T75" s="55"/>
      <c r="U75" s="55"/>
      <c r="V75" s="55"/>
      <c r="W75" s="55"/>
      <c r="X75" s="55"/>
      <c r="Y75" s="55"/>
      <c r="Z75" s="55"/>
    </row>
    <row r="76" ht="24.0" customHeight="1">
      <c r="A76" s="55"/>
      <c r="B76" s="55"/>
      <c r="C76" s="56"/>
      <c r="D76" s="55"/>
      <c r="E76" s="55"/>
      <c r="F76" s="55"/>
      <c r="G76" s="55"/>
      <c r="H76" s="55"/>
      <c r="I76" s="55"/>
      <c r="J76" s="55"/>
      <c r="K76" s="55"/>
      <c r="L76" s="55"/>
      <c r="M76" s="55"/>
      <c r="N76" s="55"/>
      <c r="O76" s="55"/>
      <c r="P76" s="55"/>
      <c r="Q76" s="55"/>
      <c r="R76" s="55"/>
      <c r="S76" s="55"/>
      <c r="T76" s="55"/>
      <c r="U76" s="55"/>
      <c r="V76" s="55"/>
      <c r="W76" s="55"/>
      <c r="X76" s="55"/>
      <c r="Y76" s="55"/>
      <c r="Z76" s="55"/>
    </row>
    <row r="77" ht="24.0" customHeight="1">
      <c r="A77" s="55"/>
      <c r="B77" s="55"/>
      <c r="C77" s="56"/>
      <c r="D77" s="55"/>
      <c r="E77" s="55"/>
      <c r="F77" s="55"/>
      <c r="G77" s="55"/>
      <c r="H77" s="55"/>
      <c r="I77" s="55"/>
      <c r="J77" s="55"/>
      <c r="K77" s="55"/>
      <c r="L77" s="55"/>
      <c r="M77" s="55"/>
      <c r="N77" s="55"/>
      <c r="O77" s="55"/>
      <c r="P77" s="55"/>
      <c r="Q77" s="55"/>
      <c r="R77" s="55"/>
      <c r="S77" s="55"/>
      <c r="T77" s="55"/>
      <c r="U77" s="55"/>
      <c r="V77" s="55"/>
      <c r="W77" s="55"/>
      <c r="X77" s="55"/>
      <c r="Y77" s="55"/>
      <c r="Z77" s="55"/>
    </row>
    <row r="78" ht="24.0" customHeight="1">
      <c r="A78" s="55"/>
      <c r="B78" s="55"/>
      <c r="C78" s="56"/>
      <c r="D78" s="55"/>
      <c r="E78" s="55"/>
      <c r="F78" s="55"/>
      <c r="G78" s="55"/>
      <c r="H78" s="55"/>
      <c r="I78" s="55"/>
      <c r="J78" s="55"/>
      <c r="K78" s="55"/>
      <c r="L78" s="55"/>
      <c r="M78" s="55"/>
      <c r="N78" s="55"/>
      <c r="O78" s="55"/>
      <c r="P78" s="55"/>
      <c r="Q78" s="55"/>
      <c r="R78" s="55"/>
      <c r="S78" s="55"/>
      <c r="T78" s="55"/>
      <c r="U78" s="55"/>
      <c r="V78" s="55"/>
      <c r="W78" s="55"/>
      <c r="X78" s="55"/>
      <c r="Y78" s="55"/>
      <c r="Z78" s="55"/>
    </row>
    <row r="79" ht="24.0" customHeight="1">
      <c r="A79" s="55"/>
      <c r="B79" s="55"/>
      <c r="C79" s="56"/>
      <c r="D79" s="55"/>
      <c r="E79" s="55"/>
      <c r="F79" s="55"/>
      <c r="G79" s="55"/>
      <c r="H79" s="55"/>
      <c r="I79" s="55"/>
      <c r="J79" s="55"/>
      <c r="K79" s="55"/>
      <c r="L79" s="55"/>
      <c r="M79" s="55"/>
      <c r="N79" s="55"/>
      <c r="O79" s="55"/>
      <c r="P79" s="55"/>
      <c r="Q79" s="55"/>
      <c r="R79" s="55"/>
      <c r="S79" s="55"/>
      <c r="T79" s="55"/>
      <c r="U79" s="55"/>
      <c r="V79" s="55"/>
      <c r="W79" s="55"/>
      <c r="X79" s="55"/>
      <c r="Y79" s="55"/>
      <c r="Z79" s="55"/>
    </row>
    <row r="80" ht="24.0" customHeight="1">
      <c r="A80" s="55"/>
      <c r="B80" s="55"/>
      <c r="C80" s="56"/>
      <c r="D80" s="55"/>
      <c r="E80" s="55"/>
      <c r="F80" s="55"/>
      <c r="G80" s="55"/>
      <c r="H80" s="55"/>
      <c r="I80" s="55"/>
      <c r="J80" s="55"/>
      <c r="K80" s="55"/>
      <c r="L80" s="55"/>
      <c r="M80" s="55"/>
      <c r="N80" s="55"/>
      <c r="O80" s="55"/>
      <c r="P80" s="55"/>
      <c r="Q80" s="55"/>
      <c r="R80" s="55"/>
      <c r="S80" s="55"/>
      <c r="T80" s="55"/>
      <c r="U80" s="55"/>
      <c r="V80" s="55"/>
      <c r="W80" s="55"/>
      <c r="X80" s="55"/>
      <c r="Y80" s="55"/>
      <c r="Z80" s="55"/>
    </row>
    <row r="81" ht="24.0" customHeight="1">
      <c r="A81" s="55"/>
      <c r="B81" s="55"/>
      <c r="C81" s="56"/>
      <c r="D81" s="55"/>
      <c r="E81" s="55"/>
      <c r="F81" s="55"/>
      <c r="G81" s="55"/>
      <c r="H81" s="55"/>
      <c r="I81" s="55"/>
      <c r="J81" s="55"/>
      <c r="K81" s="55"/>
      <c r="L81" s="55"/>
      <c r="M81" s="55"/>
      <c r="N81" s="55"/>
      <c r="O81" s="55"/>
      <c r="P81" s="55"/>
      <c r="Q81" s="55"/>
      <c r="R81" s="55"/>
      <c r="S81" s="55"/>
      <c r="T81" s="55"/>
      <c r="U81" s="55"/>
      <c r="V81" s="55"/>
      <c r="W81" s="55"/>
      <c r="X81" s="55"/>
      <c r="Y81" s="55"/>
      <c r="Z81" s="55"/>
    </row>
    <row r="82" ht="24.0" customHeight="1">
      <c r="A82" s="55"/>
      <c r="B82" s="55"/>
      <c r="C82" s="56"/>
      <c r="D82" s="55"/>
      <c r="E82" s="55"/>
      <c r="F82" s="55"/>
      <c r="G82" s="55"/>
      <c r="H82" s="55"/>
      <c r="I82" s="55"/>
      <c r="J82" s="55"/>
      <c r="K82" s="55"/>
      <c r="L82" s="55"/>
      <c r="M82" s="55"/>
      <c r="N82" s="55"/>
      <c r="O82" s="55"/>
      <c r="P82" s="55"/>
      <c r="Q82" s="55"/>
      <c r="R82" s="55"/>
      <c r="S82" s="55"/>
      <c r="T82" s="55"/>
      <c r="U82" s="55"/>
      <c r="V82" s="55"/>
      <c r="W82" s="55"/>
      <c r="X82" s="55"/>
      <c r="Y82" s="55"/>
      <c r="Z82" s="55"/>
    </row>
    <row r="83" ht="24.0" customHeight="1">
      <c r="A83" s="55"/>
      <c r="B83" s="55"/>
      <c r="C83" s="56"/>
      <c r="D83" s="55"/>
      <c r="E83" s="55"/>
      <c r="F83" s="55"/>
      <c r="G83" s="55"/>
      <c r="H83" s="55"/>
      <c r="I83" s="55"/>
      <c r="J83" s="55"/>
      <c r="K83" s="55"/>
      <c r="L83" s="55"/>
      <c r="M83" s="55"/>
      <c r="N83" s="55"/>
      <c r="O83" s="55"/>
      <c r="P83" s="55"/>
      <c r="Q83" s="55"/>
      <c r="R83" s="55"/>
      <c r="S83" s="55"/>
      <c r="T83" s="55"/>
      <c r="U83" s="55"/>
      <c r="V83" s="55"/>
      <c r="W83" s="55"/>
      <c r="X83" s="55"/>
      <c r="Y83" s="55"/>
      <c r="Z83" s="55"/>
    </row>
    <row r="84" ht="24.0" customHeight="1">
      <c r="A84" s="55"/>
      <c r="B84" s="55"/>
      <c r="C84" s="56"/>
      <c r="D84" s="55"/>
      <c r="E84" s="55"/>
      <c r="F84" s="55"/>
      <c r="G84" s="55"/>
      <c r="H84" s="55"/>
      <c r="I84" s="55"/>
      <c r="J84" s="55"/>
      <c r="K84" s="55"/>
      <c r="L84" s="55"/>
      <c r="M84" s="55"/>
      <c r="N84" s="55"/>
      <c r="O84" s="55"/>
      <c r="P84" s="55"/>
      <c r="Q84" s="55"/>
      <c r="R84" s="55"/>
      <c r="S84" s="55"/>
      <c r="T84" s="55"/>
      <c r="U84" s="55"/>
      <c r="V84" s="55"/>
      <c r="W84" s="55"/>
      <c r="X84" s="55"/>
      <c r="Y84" s="55"/>
      <c r="Z84" s="55"/>
    </row>
    <row r="85" ht="24.0" customHeight="1">
      <c r="A85" s="55"/>
      <c r="B85" s="55"/>
      <c r="C85" s="56"/>
      <c r="D85" s="55"/>
      <c r="E85" s="55"/>
      <c r="F85" s="55"/>
      <c r="G85" s="55"/>
      <c r="H85" s="55"/>
      <c r="I85" s="55"/>
      <c r="J85" s="55"/>
      <c r="K85" s="55"/>
      <c r="L85" s="55"/>
      <c r="M85" s="55"/>
      <c r="N85" s="55"/>
      <c r="O85" s="55"/>
      <c r="P85" s="55"/>
      <c r="Q85" s="55"/>
      <c r="R85" s="55"/>
      <c r="S85" s="55"/>
      <c r="T85" s="55"/>
      <c r="U85" s="55"/>
      <c r="V85" s="55"/>
      <c r="W85" s="55"/>
      <c r="X85" s="55"/>
      <c r="Y85" s="55"/>
      <c r="Z85" s="55"/>
    </row>
    <row r="86" ht="24.0" customHeight="1">
      <c r="A86" s="55"/>
      <c r="B86" s="55"/>
      <c r="C86" s="56"/>
      <c r="D86" s="55"/>
      <c r="E86" s="55"/>
      <c r="F86" s="55"/>
      <c r="G86" s="55"/>
      <c r="H86" s="55"/>
      <c r="I86" s="55"/>
      <c r="J86" s="55"/>
      <c r="K86" s="55"/>
      <c r="L86" s="55"/>
      <c r="M86" s="55"/>
      <c r="N86" s="55"/>
      <c r="O86" s="55"/>
      <c r="P86" s="55"/>
      <c r="Q86" s="55"/>
      <c r="R86" s="55"/>
      <c r="S86" s="55"/>
      <c r="T86" s="55"/>
      <c r="U86" s="55"/>
      <c r="V86" s="55"/>
      <c r="W86" s="55"/>
      <c r="X86" s="55"/>
      <c r="Y86" s="55"/>
      <c r="Z86" s="55"/>
    </row>
    <row r="87" ht="24.0" customHeight="1">
      <c r="A87" s="55"/>
      <c r="B87" s="55"/>
      <c r="C87" s="56"/>
      <c r="D87" s="55"/>
      <c r="E87" s="55"/>
      <c r="F87" s="55"/>
      <c r="G87" s="55"/>
      <c r="H87" s="55"/>
      <c r="I87" s="55"/>
      <c r="J87" s="55"/>
      <c r="K87" s="55"/>
      <c r="L87" s="55"/>
      <c r="M87" s="55"/>
      <c r="N87" s="55"/>
      <c r="O87" s="55"/>
      <c r="P87" s="55"/>
      <c r="Q87" s="55"/>
      <c r="R87" s="55"/>
      <c r="S87" s="55"/>
      <c r="T87" s="55"/>
      <c r="U87" s="55"/>
      <c r="V87" s="55"/>
      <c r="W87" s="55"/>
      <c r="X87" s="55"/>
      <c r="Y87" s="55"/>
      <c r="Z87" s="55"/>
    </row>
    <row r="88" ht="24.0" customHeight="1">
      <c r="A88" s="55"/>
      <c r="B88" s="55"/>
      <c r="C88" s="56"/>
      <c r="D88" s="55"/>
      <c r="E88" s="55"/>
      <c r="F88" s="55"/>
      <c r="G88" s="55"/>
      <c r="H88" s="55"/>
      <c r="I88" s="55"/>
      <c r="J88" s="55"/>
      <c r="K88" s="55"/>
      <c r="L88" s="55"/>
      <c r="M88" s="55"/>
      <c r="N88" s="55"/>
      <c r="O88" s="55"/>
      <c r="P88" s="55"/>
      <c r="Q88" s="55"/>
      <c r="R88" s="55"/>
      <c r="S88" s="55"/>
      <c r="T88" s="55"/>
      <c r="U88" s="55"/>
      <c r="V88" s="55"/>
      <c r="W88" s="55"/>
      <c r="X88" s="55"/>
      <c r="Y88" s="55"/>
      <c r="Z88" s="55"/>
    </row>
    <row r="89" ht="24.0" customHeight="1">
      <c r="A89" s="55"/>
      <c r="B89" s="55"/>
      <c r="C89" s="56"/>
      <c r="D89" s="55"/>
      <c r="E89" s="55"/>
      <c r="F89" s="55"/>
      <c r="G89" s="55"/>
      <c r="H89" s="55"/>
      <c r="I89" s="55"/>
      <c r="J89" s="55"/>
      <c r="K89" s="55"/>
      <c r="L89" s="55"/>
      <c r="M89" s="55"/>
      <c r="N89" s="55"/>
      <c r="O89" s="55"/>
      <c r="P89" s="55"/>
      <c r="Q89" s="55"/>
      <c r="R89" s="55"/>
      <c r="S89" s="55"/>
      <c r="T89" s="55"/>
      <c r="U89" s="55"/>
      <c r="V89" s="55"/>
      <c r="W89" s="55"/>
      <c r="X89" s="55"/>
      <c r="Y89" s="55"/>
      <c r="Z89" s="55"/>
    </row>
    <row r="90" ht="24.0" customHeight="1">
      <c r="A90" s="55"/>
      <c r="B90" s="55"/>
      <c r="C90" s="56"/>
      <c r="D90" s="55"/>
      <c r="E90" s="55"/>
      <c r="F90" s="55"/>
      <c r="G90" s="55"/>
      <c r="H90" s="55"/>
      <c r="I90" s="55"/>
      <c r="J90" s="55"/>
      <c r="K90" s="55"/>
      <c r="L90" s="55"/>
      <c r="M90" s="55"/>
      <c r="N90" s="55"/>
      <c r="O90" s="55"/>
      <c r="P90" s="55"/>
      <c r="Q90" s="55"/>
      <c r="R90" s="55"/>
      <c r="S90" s="55"/>
      <c r="T90" s="55"/>
      <c r="U90" s="55"/>
      <c r="V90" s="55"/>
      <c r="W90" s="55"/>
      <c r="X90" s="55"/>
      <c r="Y90" s="55"/>
      <c r="Z90" s="55"/>
    </row>
    <row r="91" ht="24.0" customHeight="1">
      <c r="A91" s="55"/>
      <c r="B91" s="55"/>
      <c r="C91" s="56"/>
      <c r="D91" s="55"/>
      <c r="E91" s="55"/>
      <c r="F91" s="55"/>
      <c r="G91" s="55"/>
      <c r="H91" s="55"/>
      <c r="I91" s="55"/>
      <c r="J91" s="55"/>
      <c r="K91" s="55"/>
      <c r="L91" s="55"/>
      <c r="M91" s="55"/>
      <c r="N91" s="55"/>
      <c r="O91" s="55"/>
      <c r="P91" s="55"/>
      <c r="Q91" s="55"/>
      <c r="R91" s="55"/>
      <c r="S91" s="55"/>
      <c r="T91" s="55"/>
      <c r="U91" s="55"/>
      <c r="V91" s="55"/>
      <c r="W91" s="55"/>
      <c r="X91" s="55"/>
      <c r="Y91" s="55"/>
      <c r="Z91" s="55"/>
    </row>
    <row r="92" ht="24.0" customHeight="1">
      <c r="A92" s="55"/>
      <c r="B92" s="55"/>
      <c r="C92" s="56"/>
      <c r="D92" s="55"/>
      <c r="E92" s="55"/>
      <c r="F92" s="55"/>
      <c r="G92" s="55"/>
      <c r="H92" s="55"/>
      <c r="I92" s="55"/>
      <c r="J92" s="55"/>
      <c r="K92" s="55"/>
      <c r="L92" s="55"/>
      <c r="M92" s="55"/>
      <c r="N92" s="55"/>
      <c r="O92" s="55"/>
      <c r="P92" s="55"/>
      <c r="Q92" s="55"/>
      <c r="R92" s="55"/>
      <c r="S92" s="55"/>
      <c r="T92" s="55"/>
      <c r="U92" s="55"/>
      <c r="V92" s="55"/>
      <c r="W92" s="55"/>
      <c r="X92" s="55"/>
      <c r="Y92" s="55"/>
      <c r="Z92" s="55"/>
    </row>
    <row r="93" ht="24.0" customHeight="1">
      <c r="A93" s="55"/>
      <c r="B93" s="55"/>
      <c r="C93" s="56"/>
      <c r="D93" s="55"/>
      <c r="E93" s="55"/>
      <c r="F93" s="55"/>
      <c r="G93" s="55"/>
      <c r="H93" s="55"/>
      <c r="I93" s="55"/>
      <c r="J93" s="55"/>
      <c r="K93" s="55"/>
      <c r="L93" s="55"/>
      <c r="M93" s="55"/>
      <c r="N93" s="55"/>
      <c r="O93" s="55"/>
      <c r="P93" s="55"/>
      <c r="Q93" s="55"/>
      <c r="R93" s="55"/>
      <c r="S93" s="55"/>
      <c r="T93" s="55"/>
      <c r="U93" s="55"/>
      <c r="V93" s="55"/>
      <c r="W93" s="55"/>
      <c r="X93" s="55"/>
      <c r="Y93" s="55"/>
      <c r="Z93" s="55"/>
    </row>
    <row r="94" ht="24.0" customHeight="1">
      <c r="A94" s="55"/>
      <c r="B94" s="55"/>
      <c r="C94" s="56"/>
      <c r="D94" s="55"/>
      <c r="E94" s="55"/>
      <c r="F94" s="55"/>
      <c r="G94" s="55"/>
      <c r="H94" s="55"/>
      <c r="I94" s="55"/>
      <c r="J94" s="55"/>
      <c r="K94" s="55"/>
      <c r="L94" s="55"/>
      <c r="M94" s="55"/>
      <c r="N94" s="55"/>
      <c r="O94" s="55"/>
      <c r="P94" s="55"/>
      <c r="Q94" s="55"/>
      <c r="R94" s="55"/>
      <c r="S94" s="55"/>
      <c r="T94" s="55"/>
      <c r="U94" s="55"/>
      <c r="V94" s="55"/>
      <c r="W94" s="55"/>
      <c r="X94" s="55"/>
      <c r="Y94" s="55"/>
      <c r="Z94" s="55"/>
    </row>
    <row r="95" ht="24.0" customHeight="1">
      <c r="A95" s="55"/>
      <c r="B95" s="55"/>
      <c r="C95" s="56"/>
      <c r="D95" s="55"/>
      <c r="E95" s="55"/>
      <c r="F95" s="55"/>
      <c r="G95" s="55"/>
      <c r="H95" s="55"/>
      <c r="I95" s="55"/>
      <c r="J95" s="55"/>
      <c r="K95" s="55"/>
      <c r="L95" s="55"/>
      <c r="M95" s="55"/>
      <c r="N95" s="55"/>
      <c r="O95" s="55"/>
      <c r="P95" s="55"/>
      <c r="Q95" s="55"/>
      <c r="R95" s="55"/>
      <c r="S95" s="55"/>
      <c r="T95" s="55"/>
      <c r="U95" s="55"/>
      <c r="V95" s="55"/>
      <c r="W95" s="55"/>
      <c r="X95" s="55"/>
      <c r="Y95" s="55"/>
      <c r="Z95" s="55"/>
    </row>
    <row r="96" ht="24.0" customHeight="1">
      <c r="A96" s="55"/>
      <c r="B96" s="55"/>
      <c r="C96" s="56"/>
      <c r="D96" s="55"/>
      <c r="E96" s="55"/>
      <c r="F96" s="55"/>
      <c r="G96" s="55"/>
      <c r="H96" s="55"/>
      <c r="I96" s="55"/>
      <c r="J96" s="55"/>
      <c r="K96" s="55"/>
      <c r="L96" s="55"/>
      <c r="M96" s="55"/>
      <c r="N96" s="55"/>
      <c r="O96" s="55"/>
      <c r="P96" s="55"/>
      <c r="Q96" s="55"/>
      <c r="R96" s="55"/>
      <c r="S96" s="55"/>
      <c r="T96" s="55"/>
      <c r="U96" s="55"/>
      <c r="V96" s="55"/>
      <c r="W96" s="55"/>
      <c r="X96" s="55"/>
      <c r="Y96" s="55"/>
      <c r="Z96" s="55"/>
    </row>
    <row r="97" ht="24.0" customHeight="1">
      <c r="A97" s="55"/>
      <c r="B97" s="55"/>
      <c r="C97" s="56"/>
      <c r="D97" s="55"/>
      <c r="E97" s="55"/>
      <c r="F97" s="55"/>
      <c r="G97" s="55"/>
      <c r="H97" s="55"/>
      <c r="I97" s="55"/>
      <c r="J97" s="55"/>
      <c r="K97" s="55"/>
      <c r="L97" s="55"/>
      <c r="M97" s="55"/>
      <c r="N97" s="55"/>
      <c r="O97" s="55"/>
      <c r="P97" s="55"/>
      <c r="Q97" s="55"/>
      <c r="R97" s="55"/>
      <c r="S97" s="55"/>
      <c r="T97" s="55"/>
      <c r="U97" s="55"/>
      <c r="V97" s="55"/>
      <c r="W97" s="55"/>
      <c r="X97" s="55"/>
      <c r="Y97" s="55"/>
      <c r="Z97" s="55"/>
    </row>
    <row r="98" ht="24.0" customHeight="1">
      <c r="A98" s="55"/>
      <c r="B98" s="55"/>
      <c r="C98" s="56"/>
      <c r="D98" s="55"/>
      <c r="E98" s="55"/>
      <c r="F98" s="55"/>
      <c r="G98" s="55"/>
      <c r="H98" s="55"/>
      <c r="I98" s="55"/>
      <c r="J98" s="55"/>
      <c r="K98" s="55"/>
      <c r="L98" s="55"/>
      <c r="M98" s="55"/>
      <c r="N98" s="55"/>
      <c r="O98" s="55"/>
      <c r="P98" s="55"/>
      <c r="Q98" s="55"/>
      <c r="R98" s="55"/>
      <c r="S98" s="55"/>
      <c r="T98" s="55"/>
      <c r="U98" s="55"/>
      <c r="V98" s="55"/>
      <c r="W98" s="55"/>
      <c r="X98" s="55"/>
      <c r="Y98" s="55"/>
      <c r="Z98" s="55"/>
    </row>
    <row r="99" ht="24.0" customHeight="1">
      <c r="A99" s="55"/>
      <c r="B99" s="55"/>
      <c r="C99" s="56"/>
      <c r="D99" s="55"/>
      <c r="E99" s="55"/>
      <c r="F99" s="55"/>
      <c r="G99" s="55"/>
      <c r="H99" s="55"/>
      <c r="I99" s="55"/>
      <c r="J99" s="55"/>
      <c r="K99" s="55"/>
      <c r="L99" s="55"/>
      <c r="M99" s="55"/>
      <c r="N99" s="55"/>
      <c r="O99" s="55"/>
      <c r="P99" s="55"/>
      <c r="Q99" s="55"/>
      <c r="R99" s="55"/>
      <c r="S99" s="55"/>
      <c r="T99" s="55"/>
      <c r="U99" s="55"/>
      <c r="V99" s="55"/>
      <c r="W99" s="55"/>
      <c r="X99" s="55"/>
      <c r="Y99" s="55"/>
      <c r="Z99" s="55"/>
    </row>
    <row r="100" ht="24.0" customHeight="1">
      <c r="A100" s="55"/>
      <c r="B100" s="55"/>
      <c r="C100" s="56"/>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24.0" customHeight="1">
      <c r="A101" s="55"/>
      <c r="B101" s="55"/>
      <c r="C101" s="56"/>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24.0" customHeight="1">
      <c r="A102" s="55"/>
      <c r="B102" s="55"/>
      <c r="C102" s="56"/>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24.0" customHeight="1">
      <c r="A103" s="55"/>
      <c r="B103" s="55"/>
      <c r="C103" s="56"/>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24.0" customHeight="1">
      <c r="A104" s="55"/>
      <c r="B104" s="55"/>
      <c r="C104" s="56"/>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24.0" customHeight="1">
      <c r="A105" s="55"/>
      <c r="B105" s="55"/>
      <c r="C105" s="56"/>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24.0" customHeight="1">
      <c r="A106" s="55"/>
      <c r="B106" s="55"/>
      <c r="C106" s="56"/>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24.0" customHeight="1">
      <c r="A107" s="55"/>
      <c r="B107" s="55"/>
      <c r="C107" s="56"/>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24.0" customHeight="1">
      <c r="A108" s="55"/>
      <c r="B108" s="55"/>
      <c r="C108" s="56"/>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24.0" customHeight="1">
      <c r="A109" s="55"/>
      <c r="B109" s="55"/>
      <c r="C109" s="56"/>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24.0" customHeight="1">
      <c r="A110" s="55"/>
      <c r="B110" s="55"/>
      <c r="C110" s="56"/>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24.0" customHeight="1">
      <c r="A111" s="55"/>
      <c r="B111" s="55"/>
      <c r="C111" s="56"/>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24.0" customHeight="1">
      <c r="A112" s="55"/>
      <c r="B112" s="55"/>
      <c r="C112" s="56"/>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24.0" customHeight="1">
      <c r="A113" s="55"/>
      <c r="B113" s="55"/>
      <c r="C113" s="56"/>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24.0" customHeight="1">
      <c r="A114" s="55"/>
      <c r="B114" s="55"/>
      <c r="C114" s="56"/>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24.0" customHeight="1">
      <c r="A115" s="55"/>
      <c r="B115" s="55"/>
      <c r="C115" s="56"/>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24.0" customHeight="1">
      <c r="A116" s="55"/>
      <c r="B116" s="55"/>
      <c r="C116" s="56"/>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24.0" customHeight="1">
      <c r="A117" s="55"/>
      <c r="B117" s="55"/>
      <c r="C117" s="56"/>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24.0" customHeight="1">
      <c r="A118" s="55"/>
      <c r="B118" s="55"/>
      <c r="C118" s="56"/>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24.0" customHeight="1">
      <c r="A119" s="55"/>
      <c r="B119" s="55"/>
      <c r="C119" s="56"/>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24.0" customHeight="1">
      <c r="A120" s="55"/>
      <c r="B120" s="55"/>
      <c r="C120" s="56"/>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24.0" customHeight="1">
      <c r="A121" s="55"/>
      <c r="B121" s="55"/>
      <c r="C121" s="56"/>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24.0" customHeight="1">
      <c r="A122" s="55"/>
      <c r="B122" s="55"/>
      <c r="C122" s="56"/>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24.0" customHeight="1">
      <c r="A123" s="55"/>
      <c r="B123" s="55"/>
      <c r="C123" s="56"/>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24.0" customHeight="1">
      <c r="A124" s="55"/>
      <c r="B124" s="55"/>
      <c r="C124" s="56"/>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24.0" customHeight="1">
      <c r="A125" s="55"/>
      <c r="B125" s="55"/>
      <c r="C125" s="56"/>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24.0" customHeight="1">
      <c r="A126" s="55"/>
      <c r="B126" s="55"/>
      <c r="C126" s="56"/>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24.0" customHeight="1">
      <c r="A127" s="55"/>
      <c r="B127" s="55"/>
      <c r="C127" s="56"/>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24.0" customHeight="1">
      <c r="A128" s="55"/>
      <c r="B128" s="55"/>
      <c r="C128" s="56"/>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24.0" customHeight="1">
      <c r="A129" s="55"/>
      <c r="B129" s="55"/>
      <c r="C129" s="56"/>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24.0" customHeight="1">
      <c r="A130" s="55"/>
      <c r="B130" s="55"/>
      <c r="C130" s="56"/>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24.0" customHeight="1">
      <c r="A131" s="55"/>
      <c r="B131" s="55"/>
      <c r="C131" s="56"/>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24.0" customHeight="1">
      <c r="A132" s="55"/>
      <c r="B132" s="55"/>
      <c r="C132" s="56"/>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24.0" customHeight="1">
      <c r="A133" s="55"/>
      <c r="B133" s="55"/>
      <c r="C133" s="56"/>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24.0" customHeight="1">
      <c r="A134" s="55"/>
      <c r="B134" s="55"/>
      <c r="C134" s="56"/>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24.0" customHeight="1">
      <c r="A135" s="55"/>
      <c r="B135" s="55"/>
      <c r="C135" s="56"/>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24.0" customHeight="1">
      <c r="A136" s="55"/>
      <c r="B136" s="55"/>
      <c r="C136" s="56"/>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24.0" customHeight="1">
      <c r="A137" s="55"/>
      <c r="B137" s="55"/>
      <c r="C137" s="56"/>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24.0" customHeight="1">
      <c r="A138" s="55"/>
      <c r="B138" s="55"/>
      <c r="C138" s="56"/>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24.0" customHeight="1">
      <c r="A139" s="55"/>
      <c r="B139" s="55"/>
      <c r="C139" s="56"/>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24.0" customHeight="1">
      <c r="A140" s="55"/>
      <c r="B140" s="55"/>
      <c r="C140" s="56"/>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24.0" customHeight="1">
      <c r="A141" s="55"/>
      <c r="B141" s="55"/>
      <c r="C141" s="56"/>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24.0" customHeight="1">
      <c r="A142" s="55"/>
      <c r="B142" s="55"/>
      <c r="C142" s="56"/>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24.0" customHeight="1">
      <c r="A143" s="55"/>
      <c r="B143" s="55"/>
      <c r="C143" s="56"/>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24.0" customHeight="1">
      <c r="A144" s="55"/>
      <c r="B144" s="55"/>
      <c r="C144" s="56"/>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24.0" customHeight="1">
      <c r="A145" s="55"/>
      <c r="B145" s="55"/>
      <c r="C145" s="56"/>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24.0" customHeight="1">
      <c r="A146" s="55"/>
      <c r="B146" s="55"/>
      <c r="C146" s="56"/>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24.0" customHeight="1">
      <c r="A147" s="55"/>
      <c r="B147" s="55"/>
      <c r="C147" s="56"/>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24.0" customHeight="1">
      <c r="A148" s="55"/>
      <c r="B148" s="55"/>
      <c r="C148" s="56"/>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24.0" customHeight="1">
      <c r="A149" s="55"/>
      <c r="B149" s="55"/>
      <c r="C149" s="56"/>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24.0" customHeight="1">
      <c r="A150" s="55"/>
      <c r="B150" s="55"/>
      <c r="C150" s="56"/>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24.0" customHeight="1">
      <c r="A151" s="55"/>
      <c r="B151" s="55"/>
      <c r="C151" s="56"/>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24.0" customHeight="1">
      <c r="A152" s="55"/>
      <c r="B152" s="55"/>
      <c r="C152" s="56"/>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24.0" customHeight="1">
      <c r="A153" s="55"/>
      <c r="B153" s="55"/>
      <c r="C153" s="56"/>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24.0" customHeight="1">
      <c r="A154" s="55"/>
      <c r="B154" s="55"/>
      <c r="C154" s="56"/>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24.0" customHeight="1">
      <c r="A155" s="55"/>
      <c r="B155" s="55"/>
      <c r="C155" s="56"/>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24.0" customHeight="1">
      <c r="A156" s="55"/>
      <c r="B156" s="55"/>
      <c r="C156" s="56"/>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24.0" customHeight="1">
      <c r="A157" s="55"/>
      <c r="B157" s="55"/>
      <c r="C157" s="56"/>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24.0" customHeight="1">
      <c r="A158" s="55"/>
      <c r="B158" s="55"/>
      <c r="C158" s="56"/>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24.0" customHeight="1">
      <c r="A159" s="55"/>
      <c r="B159" s="55"/>
      <c r="C159" s="56"/>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24.0" customHeight="1">
      <c r="A160" s="55"/>
      <c r="B160" s="55"/>
      <c r="C160" s="56"/>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24.0" customHeight="1">
      <c r="A161" s="55"/>
      <c r="B161" s="55"/>
      <c r="C161" s="56"/>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24.0" customHeight="1">
      <c r="A162" s="55"/>
      <c r="B162" s="55"/>
      <c r="C162" s="56"/>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24.0" customHeight="1">
      <c r="A163" s="55"/>
      <c r="B163" s="55"/>
      <c r="C163" s="56"/>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24.0" customHeight="1">
      <c r="A164" s="55"/>
      <c r="B164" s="55"/>
      <c r="C164" s="56"/>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24.0" customHeight="1">
      <c r="A165" s="55"/>
      <c r="B165" s="55"/>
      <c r="C165" s="56"/>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24.0" customHeight="1">
      <c r="A166" s="55"/>
      <c r="B166" s="55"/>
      <c r="C166" s="56"/>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24.0" customHeight="1">
      <c r="A167" s="55"/>
      <c r="B167" s="55"/>
      <c r="C167" s="56"/>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24.0" customHeight="1">
      <c r="A168" s="55"/>
      <c r="B168" s="55"/>
      <c r="C168" s="56"/>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24.0" customHeight="1">
      <c r="A169" s="55"/>
      <c r="B169" s="55"/>
      <c r="C169" s="56"/>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24.0" customHeight="1">
      <c r="A170" s="55"/>
      <c r="B170" s="55"/>
      <c r="C170" s="56"/>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24.0" customHeight="1">
      <c r="A171" s="55"/>
      <c r="B171" s="55"/>
      <c r="C171" s="56"/>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24.0" customHeight="1">
      <c r="A172" s="55"/>
      <c r="B172" s="55"/>
      <c r="C172" s="56"/>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24.0" customHeight="1">
      <c r="A173" s="55"/>
      <c r="B173" s="55"/>
      <c r="C173" s="56"/>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24.0" customHeight="1">
      <c r="A174" s="55"/>
      <c r="B174" s="55"/>
      <c r="C174" s="56"/>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24.0" customHeight="1">
      <c r="A175" s="55"/>
      <c r="B175" s="55"/>
      <c r="C175" s="56"/>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24.0" customHeight="1">
      <c r="A176" s="55"/>
      <c r="B176" s="55"/>
      <c r="C176" s="56"/>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24.0" customHeight="1">
      <c r="A177" s="55"/>
      <c r="B177" s="55"/>
      <c r="C177" s="56"/>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24.0" customHeight="1">
      <c r="A178" s="55"/>
      <c r="B178" s="55"/>
      <c r="C178" s="56"/>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24.0" customHeight="1">
      <c r="A179" s="55"/>
      <c r="B179" s="55"/>
      <c r="C179" s="56"/>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24.0" customHeight="1">
      <c r="A180" s="55"/>
      <c r="B180" s="55"/>
      <c r="C180" s="56"/>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24.0" customHeight="1">
      <c r="A181" s="55"/>
      <c r="B181" s="55"/>
      <c r="C181" s="56"/>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24.0" customHeight="1">
      <c r="A182" s="55"/>
      <c r="B182" s="55"/>
      <c r="C182" s="56"/>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24.0" customHeight="1">
      <c r="A183" s="55"/>
      <c r="B183" s="55"/>
      <c r="C183" s="56"/>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24.0" customHeight="1">
      <c r="A184" s="55"/>
      <c r="B184" s="55"/>
      <c r="C184" s="56"/>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24.0" customHeight="1">
      <c r="A185" s="55"/>
      <c r="B185" s="55"/>
      <c r="C185" s="56"/>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24.0" customHeight="1">
      <c r="A186" s="55"/>
      <c r="B186" s="55"/>
      <c r="C186" s="56"/>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24.0" customHeight="1">
      <c r="A187" s="55"/>
      <c r="B187" s="55"/>
      <c r="C187" s="56"/>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24.0" customHeight="1">
      <c r="A188" s="55"/>
      <c r="B188" s="55"/>
      <c r="C188" s="56"/>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24.0" customHeight="1">
      <c r="A189" s="55"/>
      <c r="B189" s="55"/>
      <c r="C189" s="56"/>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24.0" customHeight="1">
      <c r="A190" s="55"/>
      <c r="B190" s="55"/>
      <c r="C190" s="56"/>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24.0" customHeight="1">
      <c r="A191" s="55"/>
      <c r="B191" s="55"/>
      <c r="C191" s="56"/>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24.0" customHeight="1">
      <c r="A192" s="55"/>
      <c r="B192" s="55"/>
      <c r="C192" s="56"/>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24.0" customHeight="1">
      <c r="A193" s="55"/>
      <c r="B193" s="55"/>
      <c r="C193" s="56"/>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24.0" customHeight="1">
      <c r="A194" s="55"/>
      <c r="B194" s="55"/>
      <c r="C194" s="56"/>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24.0" customHeight="1">
      <c r="A195" s="55"/>
      <c r="B195" s="55"/>
      <c r="C195" s="56"/>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24.0" customHeight="1">
      <c r="A196" s="55"/>
      <c r="B196" s="55"/>
      <c r="C196" s="56"/>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24.0" customHeight="1">
      <c r="A197" s="55"/>
      <c r="B197" s="55"/>
      <c r="C197" s="56"/>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24.0" customHeight="1">
      <c r="A198" s="55"/>
      <c r="B198" s="55"/>
      <c r="C198" s="56"/>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24.0" customHeight="1">
      <c r="A199" s="55"/>
      <c r="B199" s="55"/>
      <c r="C199" s="56"/>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24.0" customHeight="1">
      <c r="A200" s="55"/>
      <c r="B200" s="55"/>
      <c r="C200" s="56"/>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24.0" customHeight="1">
      <c r="A201" s="55"/>
      <c r="B201" s="55"/>
      <c r="C201" s="56"/>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24.0" customHeight="1">
      <c r="A202" s="55"/>
      <c r="B202" s="55"/>
      <c r="C202" s="56"/>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24.0" customHeight="1">
      <c r="A203" s="55"/>
      <c r="B203" s="55"/>
      <c r="C203" s="56"/>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24.0" customHeight="1">
      <c r="A204" s="55"/>
      <c r="B204" s="55"/>
      <c r="C204" s="56"/>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24.0" customHeight="1">
      <c r="A205" s="55"/>
      <c r="B205" s="55"/>
      <c r="C205" s="56"/>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24.0" customHeight="1">
      <c r="A206" s="55"/>
      <c r="B206" s="55"/>
      <c r="C206" s="56"/>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24.0" customHeight="1">
      <c r="A207" s="55"/>
      <c r="B207" s="55"/>
      <c r="C207" s="56"/>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24.0" customHeight="1">
      <c r="A208" s="55"/>
      <c r="B208" s="55"/>
      <c r="C208" s="56"/>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24.0" customHeight="1">
      <c r="A209" s="55"/>
      <c r="B209" s="55"/>
      <c r="C209" s="56"/>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24.0" customHeight="1">
      <c r="A210" s="55"/>
      <c r="B210" s="55"/>
      <c r="C210" s="56"/>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24.0" customHeight="1">
      <c r="A211" s="55"/>
      <c r="B211" s="55"/>
      <c r="C211" s="56"/>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24.0" customHeight="1">
      <c r="A212" s="55"/>
      <c r="B212" s="55"/>
      <c r="C212" s="56"/>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24.0" customHeight="1">
      <c r="A213" s="55"/>
      <c r="B213" s="55"/>
      <c r="C213" s="56"/>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24.0" customHeight="1">
      <c r="A214" s="55"/>
      <c r="B214" s="55"/>
      <c r="C214" s="56"/>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24.0" customHeight="1">
      <c r="A215" s="55"/>
      <c r="B215" s="55"/>
      <c r="C215" s="56"/>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24.0" customHeight="1">
      <c r="A216" s="55"/>
      <c r="B216" s="55"/>
      <c r="C216" s="56"/>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24.0" customHeight="1">
      <c r="A217" s="55"/>
      <c r="B217" s="55"/>
      <c r="C217" s="56"/>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24.0" customHeight="1">
      <c r="A218" s="55"/>
      <c r="B218" s="55"/>
      <c r="C218" s="56"/>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24.0" customHeight="1">
      <c r="A219" s="55"/>
      <c r="B219" s="55"/>
      <c r="C219" s="56"/>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24.0" customHeight="1">
      <c r="A220" s="55"/>
      <c r="B220" s="55"/>
      <c r="C220" s="56"/>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24.0" customHeight="1">
      <c r="A221" s="55"/>
      <c r="B221" s="55"/>
      <c r="C221" s="56"/>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24.0" customHeight="1">
      <c r="A222" s="55"/>
      <c r="B222" s="55"/>
      <c r="C222" s="56"/>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24.0" customHeight="1">
      <c r="A223" s="55"/>
      <c r="B223" s="55"/>
      <c r="C223" s="56"/>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24.0" customHeight="1">
      <c r="A224" s="55"/>
      <c r="B224" s="55"/>
      <c r="C224" s="56"/>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24.0" customHeight="1">
      <c r="A225" s="55"/>
      <c r="B225" s="55"/>
      <c r="C225" s="56"/>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24.0" customHeight="1">
      <c r="A226" s="55"/>
      <c r="B226" s="55"/>
      <c r="C226" s="56"/>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24.0" customHeight="1">
      <c r="A227" s="55"/>
      <c r="B227" s="55"/>
      <c r="C227" s="56"/>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24.0" customHeight="1">
      <c r="A228" s="55"/>
      <c r="B228" s="55"/>
      <c r="C228" s="56"/>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24.0" customHeight="1">
      <c r="A229" s="55"/>
      <c r="B229" s="55"/>
      <c r="C229" s="56"/>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24.0" customHeight="1">
      <c r="A230" s="55"/>
      <c r="B230" s="55"/>
      <c r="C230" s="56"/>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24.0" customHeight="1">
      <c r="A231" s="55"/>
      <c r="B231" s="55"/>
      <c r="C231" s="56"/>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24.0" customHeight="1">
      <c r="A232" s="55"/>
      <c r="B232" s="55"/>
      <c r="C232" s="56"/>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24.0" customHeight="1">
      <c r="A233" s="55"/>
      <c r="B233" s="55"/>
      <c r="C233" s="56"/>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24.0" customHeight="1">
      <c r="A234" s="55"/>
      <c r="B234" s="55"/>
      <c r="C234" s="56"/>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24.0" customHeight="1">
      <c r="A235" s="55"/>
      <c r="B235" s="55"/>
      <c r="C235" s="56"/>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24.0" customHeight="1">
      <c r="A236" s="55"/>
      <c r="B236" s="55"/>
      <c r="C236" s="56"/>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24.0" customHeight="1">
      <c r="A237" s="55"/>
      <c r="B237" s="55"/>
      <c r="C237" s="56"/>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24.0" customHeight="1">
      <c r="A238" s="55"/>
      <c r="B238" s="55"/>
      <c r="C238" s="56"/>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24.0" customHeight="1">
      <c r="A239" s="55"/>
      <c r="B239" s="55"/>
      <c r="C239" s="56"/>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24.0" customHeight="1">
      <c r="A240" s="55"/>
      <c r="B240" s="55"/>
      <c r="C240" s="56"/>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24.0" customHeight="1">
      <c r="A241" s="55"/>
      <c r="B241" s="55"/>
      <c r="C241" s="56"/>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24.0" customHeight="1">
      <c r="A242" s="55"/>
      <c r="B242" s="55"/>
      <c r="C242" s="56"/>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24.0" customHeight="1">
      <c r="A243" s="55"/>
      <c r="B243" s="55"/>
      <c r="C243" s="56"/>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24.0" customHeight="1">
      <c r="A244" s="55"/>
      <c r="B244" s="55"/>
      <c r="C244" s="56"/>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24.0" customHeight="1">
      <c r="A245" s="55"/>
      <c r="B245" s="55"/>
      <c r="C245" s="56"/>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24.0" customHeight="1">
      <c r="A246" s="55"/>
      <c r="B246" s="55"/>
      <c r="C246" s="56"/>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24.0" customHeight="1">
      <c r="A247" s="55"/>
      <c r="B247" s="55"/>
      <c r="C247" s="56"/>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24.0" customHeight="1">
      <c r="A248" s="55"/>
      <c r="B248" s="55"/>
      <c r="C248" s="56"/>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24.0" customHeight="1">
      <c r="A249" s="55"/>
      <c r="B249" s="55"/>
      <c r="C249" s="56"/>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24.0" customHeight="1">
      <c r="A250" s="55"/>
      <c r="B250" s="55"/>
      <c r="C250" s="56"/>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24.0" customHeight="1">
      <c r="A251" s="55"/>
      <c r="B251" s="55"/>
      <c r="C251" s="56"/>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24.0" customHeight="1">
      <c r="A252" s="55"/>
      <c r="B252" s="55"/>
      <c r="C252" s="56"/>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24.0" customHeight="1">
      <c r="A253" s="55"/>
      <c r="B253" s="55"/>
      <c r="C253" s="56"/>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24.0" customHeight="1">
      <c r="A254" s="55"/>
      <c r="B254" s="55"/>
      <c r="C254" s="56"/>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24.0" customHeight="1">
      <c r="A255" s="55"/>
      <c r="B255" s="55"/>
      <c r="C255" s="56"/>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24.0" customHeight="1">
      <c r="A256" s="55"/>
      <c r="B256" s="55"/>
      <c r="C256" s="56"/>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24.0" customHeight="1">
      <c r="A257" s="55"/>
      <c r="B257" s="55"/>
      <c r="C257" s="56"/>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24.0" customHeight="1">
      <c r="A258" s="55"/>
      <c r="B258" s="55"/>
      <c r="C258" s="56"/>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24.0" customHeight="1">
      <c r="A259" s="55"/>
      <c r="B259" s="55"/>
      <c r="C259" s="56"/>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24.0" customHeight="1">
      <c r="A260" s="55"/>
      <c r="B260" s="55"/>
      <c r="C260" s="56"/>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24.0" customHeight="1">
      <c r="A261" s="55"/>
      <c r="B261" s="55"/>
      <c r="C261" s="56"/>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24.0" customHeight="1">
      <c r="A262" s="55"/>
      <c r="B262" s="55"/>
      <c r="C262" s="56"/>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24.0" customHeight="1">
      <c r="A263" s="55"/>
      <c r="B263" s="55"/>
      <c r="C263" s="56"/>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24.0" customHeight="1">
      <c r="A264" s="55"/>
      <c r="B264" s="55"/>
      <c r="C264" s="56"/>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24.0" customHeight="1">
      <c r="A265" s="55"/>
      <c r="B265" s="55"/>
      <c r="C265" s="56"/>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24.0" customHeight="1">
      <c r="A266" s="55"/>
      <c r="B266" s="55"/>
      <c r="C266" s="56"/>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24.0" customHeight="1">
      <c r="A267" s="55"/>
      <c r="B267" s="55"/>
      <c r="C267" s="56"/>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24.0" customHeight="1">
      <c r="A268" s="55"/>
      <c r="B268" s="55"/>
      <c r="C268" s="56"/>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24.0" customHeight="1">
      <c r="A269" s="55"/>
      <c r="B269" s="55"/>
      <c r="C269" s="56"/>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24.0" customHeight="1">
      <c r="A270" s="55"/>
      <c r="B270" s="55"/>
      <c r="C270" s="56"/>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24.0" customHeight="1">
      <c r="A271" s="55"/>
      <c r="B271" s="55"/>
      <c r="C271" s="56"/>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24.0" customHeight="1">
      <c r="A272" s="55"/>
      <c r="B272" s="55"/>
      <c r="C272" s="56"/>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24.0" customHeight="1">
      <c r="A273" s="55"/>
      <c r="B273" s="55"/>
      <c r="C273" s="56"/>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24.0" customHeight="1">
      <c r="A274" s="55"/>
      <c r="B274" s="55"/>
      <c r="C274" s="56"/>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24.0" customHeight="1">
      <c r="A275" s="55"/>
      <c r="B275" s="55"/>
      <c r="C275" s="56"/>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24.0" customHeight="1">
      <c r="A276" s="55"/>
      <c r="B276" s="55"/>
      <c r="C276" s="56"/>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24.0" customHeight="1">
      <c r="A277" s="55"/>
      <c r="B277" s="55"/>
      <c r="C277" s="56"/>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24.0" customHeight="1">
      <c r="A278" s="55"/>
      <c r="B278" s="55"/>
      <c r="C278" s="56"/>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24.0" customHeight="1">
      <c r="A279" s="55"/>
      <c r="B279" s="55"/>
      <c r="C279" s="56"/>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24.0" customHeight="1">
      <c r="A280" s="55"/>
      <c r="B280" s="55"/>
      <c r="C280" s="56"/>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24.0" customHeight="1">
      <c r="A281" s="55"/>
      <c r="B281" s="55"/>
      <c r="C281" s="56"/>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24.0" customHeight="1">
      <c r="A282" s="55"/>
      <c r="B282" s="55"/>
      <c r="C282" s="56"/>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24.0" customHeight="1">
      <c r="A283" s="55"/>
      <c r="B283" s="55"/>
      <c r="C283" s="56"/>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24.0" customHeight="1">
      <c r="A284" s="55"/>
      <c r="B284" s="55"/>
      <c r="C284" s="56"/>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24.0" customHeight="1">
      <c r="A285" s="55"/>
      <c r="B285" s="55"/>
      <c r="C285" s="56"/>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24.0" customHeight="1">
      <c r="A286" s="55"/>
      <c r="B286" s="55"/>
      <c r="C286" s="56"/>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24.0" customHeight="1">
      <c r="A287" s="55"/>
      <c r="B287" s="55"/>
      <c r="C287" s="56"/>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24.0" customHeight="1">
      <c r="A288" s="55"/>
      <c r="B288" s="55"/>
      <c r="C288" s="56"/>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24.0" customHeight="1">
      <c r="A289" s="55"/>
      <c r="B289" s="55"/>
      <c r="C289" s="56"/>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24.0" customHeight="1">
      <c r="A290" s="55"/>
      <c r="B290" s="55"/>
      <c r="C290" s="56"/>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24.0" customHeight="1">
      <c r="A291" s="55"/>
      <c r="B291" s="55"/>
      <c r="C291" s="56"/>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24.0" customHeight="1">
      <c r="A292" s="55"/>
      <c r="B292" s="55"/>
      <c r="C292" s="56"/>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24.0" customHeight="1">
      <c r="A293" s="55"/>
      <c r="B293" s="55"/>
      <c r="C293" s="56"/>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24.0" customHeight="1">
      <c r="A294" s="55"/>
      <c r="B294" s="55"/>
      <c r="C294" s="56"/>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24.0" customHeight="1">
      <c r="A295" s="55"/>
      <c r="B295" s="55"/>
      <c r="C295" s="56"/>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24.0" customHeight="1">
      <c r="A296" s="55"/>
      <c r="B296" s="55"/>
      <c r="C296" s="56"/>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24.0" customHeight="1">
      <c r="A297" s="55"/>
      <c r="B297" s="55"/>
      <c r="C297" s="56"/>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24.0" customHeight="1">
      <c r="A298" s="55"/>
      <c r="B298" s="55"/>
      <c r="C298" s="56"/>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24.0" customHeight="1">
      <c r="A299" s="55"/>
      <c r="B299" s="55"/>
      <c r="C299" s="56"/>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24.0" customHeight="1">
      <c r="A300" s="55"/>
      <c r="B300" s="55"/>
      <c r="C300" s="56"/>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24.0" customHeight="1">
      <c r="A301" s="55"/>
      <c r="B301" s="55"/>
      <c r="C301" s="56"/>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24.0" customHeight="1">
      <c r="A302" s="55"/>
      <c r="B302" s="55"/>
      <c r="C302" s="56"/>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24.0" customHeight="1">
      <c r="A303" s="55"/>
      <c r="B303" s="55"/>
      <c r="C303" s="56"/>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24.0" customHeight="1">
      <c r="A304" s="55"/>
      <c r="B304" s="55"/>
      <c r="C304" s="56"/>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24.0" customHeight="1">
      <c r="A305" s="55"/>
      <c r="B305" s="55"/>
      <c r="C305" s="56"/>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24.0" customHeight="1">
      <c r="A306" s="55"/>
      <c r="B306" s="55"/>
      <c r="C306" s="56"/>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24.0" customHeight="1">
      <c r="A307" s="55"/>
      <c r="B307" s="55"/>
      <c r="C307" s="56"/>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24.0" customHeight="1">
      <c r="A308" s="55"/>
      <c r="B308" s="55"/>
      <c r="C308" s="56"/>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24.0" customHeight="1">
      <c r="A309" s="55"/>
      <c r="B309" s="55"/>
      <c r="C309" s="56"/>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24.0" customHeight="1">
      <c r="A310" s="55"/>
      <c r="B310" s="55"/>
      <c r="C310" s="56"/>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24.0" customHeight="1">
      <c r="A311" s="55"/>
      <c r="B311" s="55"/>
      <c r="C311" s="56"/>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24.0" customHeight="1">
      <c r="A312" s="55"/>
      <c r="B312" s="55"/>
      <c r="C312" s="56"/>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24.0" customHeight="1">
      <c r="A313" s="55"/>
      <c r="B313" s="55"/>
      <c r="C313" s="56"/>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24.0" customHeight="1">
      <c r="A314" s="55"/>
      <c r="B314" s="55"/>
      <c r="C314" s="56"/>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24.0" customHeight="1">
      <c r="A315" s="55"/>
      <c r="B315" s="55"/>
      <c r="C315" s="56"/>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24.0" customHeight="1">
      <c r="A316" s="55"/>
      <c r="B316" s="55"/>
      <c r="C316" s="56"/>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24.0" customHeight="1">
      <c r="A317" s="55"/>
      <c r="B317" s="55"/>
      <c r="C317" s="56"/>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24.0" customHeight="1">
      <c r="A318" s="55"/>
      <c r="B318" s="55"/>
      <c r="C318" s="56"/>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24.0" customHeight="1">
      <c r="A319" s="55"/>
      <c r="B319" s="55"/>
      <c r="C319" s="56"/>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24.0" customHeight="1">
      <c r="A320" s="55"/>
      <c r="B320" s="55"/>
      <c r="C320" s="56"/>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24.0" customHeight="1">
      <c r="A321" s="55"/>
      <c r="B321" s="55"/>
      <c r="C321" s="56"/>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24.0" customHeight="1">
      <c r="A322" s="55"/>
      <c r="B322" s="55"/>
      <c r="C322" s="56"/>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24.0" customHeight="1">
      <c r="A323" s="55"/>
      <c r="B323" s="55"/>
      <c r="C323" s="56"/>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24.0" customHeight="1">
      <c r="A324" s="55"/>
      <c r="B324" s="55"/>
      <c r="C324" s="56"/>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24.0" customHeight="1">
      <c r="A325" s="55"/>
      <c r="B325" s="55"/>
      <c r="C325" s="56"/>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24.0" customHeight="1">
      <c r="A326" s="55"/>
      <c r="B326" s="55"/>
      <c r="C326" s="56"/>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24.0" customHeight="1">
      <c r="A327" s="55"/>
      <c r="B327" s="55"/>
      <c r="C327" s="56"/>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24.0" customHeight="1">
      <c r="A328" s="55"/>
      <c r="B328" s="55"/>
      <c r="C328" s="56"/>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24.0" customHeight="1">
      <c r="A329" s="55"/>
      <c r="B329" s="55"/>
      <c r="C329" s="56"/>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24.0" customHeight="1">
      <c r="A330" s="55"/>
      <c r="B330" s="55"/>
      <c r="C330" s="56"/>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24.0" customHeight="1">
      <c r="A331" s="55"/>
      <c r="B331" s="55"/>
      <c r="C331" s="56"/>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24.0" customHeight="1">
      <c r="A332" s="55"/>
      <c r="B332" s="55"/>
      <c r="C332" s="56"/>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24.0" customHeight="1">
      <c r="A333" s="55"/>
      <c r="B333" s="55"/>
      <c r="C333" s="56"/>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24.0" customHeight="1">
      <c r="A334" s="55"/>
      <c r="B334" s="55"/>
      <c r="C334" s="56"/>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24.0" customHeight="1">
      <c r="A335" s="55"/>
      <c r="B335" s="55"/>
      <c r="C335" s="56"/>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24.0" customHeight="1">
      <c r="A336" s="55"/>
      <c r="B336" s="55"/>
      <c r="C336" s="56"/>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24.0" customHeight="1">
      <c r="A337" s="55"/>
      <c r="B337" s="55"/>
      <c r="C337" s="56"/>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24.0" customHeight="1">
      <c r="A338" s="55"/>
      <c r="B338" s="55"/>
      <c r="C338" s="56"/>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24.0" customHeight="1">
      <c r="A339" s="55"/>
      <c r="B339" s="55"/>
      <c r="C339" s="56"/>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24.0" customHeight="1">
      <c r="A340" s="55"/>
      <c r="B340" s="55"/>
      <c r="C340" s="56"/>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24.0" customHeight="1">
      <c r="A341" s="55"/>
      <c r="B341" s="55"/>
      <c r="C341" s="56"/>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24.0" customHeight="1">
      <c r="A342" s="55"/>
      <c r="B342" s="55"/>
      <c r="C342" s="56"/>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24.0" customHeight="1">
      <c r="A343" s="55"/>
      <c r="B343" s="55"/>
      <c r="C343" s="56"/>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24.0" customHeight="1">
      <c r="A344" s="55"/>
      <c r="B344" s="55"/>
      <c r="C344" s="56"/>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24.0" customHeight="1">
      <c r="A345" s="55"/>
      <c r="B345" s="55"/>
      <c r="C345" s="56"/>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24.0" customHeight="1">
      <c r="A346" s="55"/>
      <c r="B346" s="55"/>
      <c r="C346" s="56"/>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24.0" customHeight="1">
      <c r="A347" s="55"/>
      <c r="B347" s="55"/>
      <c r="C347" s="56"/>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24.0" customHeight="1">
      <c r="A348" s="55"/>
      <c r="B348" s="55"/>
      <c r="C348" s="56"/>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24.0" customHeight="1">
      <c r="A349" s="55"/>
      <c r="B349" s="55"/>
      <c r="C349" s="56"/>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24.0" customHeight="1">
      <c r="A350" s="55"/>
      <c r="B350" s="55"/>
      <c r="C350" s="56"/>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24.0" customHeight="1">
      <c r="A351" s="55"/>
      <c r="B351" s="55"/>
      <c r="C351" s="56"/>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24.0" customHeight="1">
      <c r="A352" s="55"/>
      <c r="B352" s="55"/>
      <c r="C352" s="56"/>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24.0" customHeight="1">
      <c r="A353" s="55"/>
      <c r="B353" s="55"/>
      <c r="C353" s="56"/>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24.0" customHeight="1">
      <c r="A354" s="55"/>
      <c r="B354" s="55"/>
      <c r="C354" s="56"/>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24.0" customHeight="1">
      <c r="A355" s="55"/>
      <c r="B355" s="55"/>
      <c r="C355" s="56"/>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24.0" customHeight="1">
      <c r="A356" s="55"/>
      <c r="B356" s="55"/>
      <c r="C356" s="56"/>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24.0" customHeight="1">
      <c r="A357" s="55"/>
      <c r="B357" s="55"/>
      <c r="C357" s="56"/>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24.0" customHeight="1">
      <c r="A358" s="55"/>
      <c r="B358" s="55"/>
      <c r="C358" s="56"/>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24.0" customHeight="1">
      <c r="A359" s="55"/>
      <c r="B359" s="55"/>
      <c r="C359" s="56"/>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24.0" customHeight="1">
      <c r="A360" s="55"/>
      <c r="B360" s="55"/>
      <c r="C360" s="56"/>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24.0" customHeight="1">
      <c r="A361" s="55"/>
      <c r="B361" s="55"/>
      <c r="C361" s="56"/>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24.0" customHeight="1">
      <c r="A362" s="55"/>
      <c r="B362" s="55"/>
      <c r="C362" s="56"/>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24.0" customHeight="1">
      <c r="A363" s="55"/>
      <c r="B363" s="55"/>
      <c r="C363" s="56"/>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24.0" customHeight="1">
      <c r="A364" s="55"/>
      <c r="B364" s="55"/>
      <c r="C364" s="56"/>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24.0" customHeight="1">
      <c r="A365" s="55"/>
      <c r="B365" s="55"/>
      <c r="C365" s="56"/>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24.0" customHeight="1">
      <c r="A366" s="55"/>
      <c r="B366" s="55"/>
      <c r="C366" s="56"/>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24.0" customHeight="1">
      <c r="A367" s="55"/>
      <c r="B367" s="55"/>
      <c r="C367" s="56"/>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24.0" customHeight="1">
      <c r="A368" s="55"/>
      <c r="B368" s="55"/>
      <c r="C368" s="56"/>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24.0" customHeight="1">
      <c r="A369" s="55"/>
      <c r="B369" s="55"/>
      <c r="C369" s="56"/>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24.0" customHeight="1">
      <c r="A370" s="55"/>
      <c r="B370" s="55"/>
      <c r="C370" s="56"/>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24.0" customHeight="1">
      <c r="A371" s="55"/>
      <c r="B371" s="55"/>
      <c r="C371" s="56"/>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24.0" customHeight="1">
      <c r="A372" s="55"/>
      <c r="B372" s="55"/>
      <c r="C372" s="56"/>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24.0" customHeight="1">
      <c r="A373" s="55"/>
      <c r="B373" s="55"/>
      <c r="C373" s="56"/>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24.0" customHeight="1">
      <c r="A374" s="55"/>
      <c r="B374" s="55"/>
      <c r="C374" s="56"/>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24.0" customHeight="1">
      <c r="A375" s="55"/>
      <c r="B375" s="55"/>
      <c r="C375" s="56"/>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24.0" customHeight="1">
      <c r="A376" s="55"/>
      <c r="B376" s="55"/>
      <c r="C376" s="56"/>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24.0" customHeight="1">
      <c r="A377" s="55"/>
      <c r="B377" s="55"/>
      <c r="C377" s="56"/>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24.0" customHeight="1">
      <c r="A378" s="55"/>
      <c r="B378" s="55"/>
      <c r="C378" s="56"/>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24.0" customHeight="1">
      <c r="A379" s="55"/>
      <c r="B379" s="55"/>
      <c r="C379" s="56"/>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24.0" customHeight="1">
      <c r="A380" s="55"/>
      <c r="B380" s="55"/>
      <c r="C380" s="56"/>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24.0" customHeight="1">
      <c r="A381" s="55"/>
      <c r="B381" s="55"/>
      <c r="C381" s="56"/>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24.0" customHeight="1">
      <c r="A382" s="55"/>
      <c r="B382" s="55"/>
      <c r="C382" s="56"/>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24.0" customHeight="1">
      <c r="A383" s="55"/>
      <c r="B383" s="55"/>
      <c r="C383" s="56"/>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24.0" customHeight="1">
      <c r="A384" s="55"/>
      <c r="B384" s="55"/>
      <c r="C384" s="56"/>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24.0" customHeight="1">
      <c r="A385" s="55"/>
      <c r="B385" s="55"/>
      <c r="C385" s="56"/>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24.0" customHeight="1">
      <c r="A386" s="55"/>
      <c r="B386" s="55"/>
      <c r="C386" s="56"/>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24.0" customHeight="1">
      <c r="A387" s="55"/>
      <c r="B387" s="55"/>
      <c r="C387" s="56"/>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24.0" customHeight="1">
      <c r="A388" s="55"/>
      <c r="B388" s="55"/>
      <c r="C388" s="56"/>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24.0" customHeight="1">
      <c r="A389" s="55"/>
      <c r="B389" s="55"/>
      <c r="C389" s="56"/>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24.0" customHeight="1">
      <c r="A390" s="55"/>
      <c r="B390" s="55"/>
      <c r="C390" s="56"/>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24.0" customHeight="1">
      <c r="A391" s="55"/>
      <c r="B391" s="55"/>
      <c r="C391" s="56"/>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24.0" customHeight="1">
      <c r="A392" s="55"/>
      <c r="B392" s="55"/>
      <c r="C392" s="56"/>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24.0" customHeight="1">
      <c r="A393" s="55"/>
      <c r="B393" s="55"/>
      <c r="C393" s="56"/>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24.0" customHeight="1">
      <c r="A394" s="55"/>
      <c r="B394" s="55"/>
      <c r="C394" s="56"/>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24.0" customHeight="1">
      <c r="A395" s="55"/>
      <c r="B395" s="55"/>
      <c r="C395" s="56"/>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24.0" customHeight="1">
      <c r="A396" s="55"/>
      <c r="B396" s="55"/>
      <c r="C396" s="56"/>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24.0" customHeight="1">
      <c r="A397" s="55"/>
      <c r="B397" s="55"/>
      <c r="C397" s="56"/>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24.0" customHeight="1">
      <c r="A398" s="55"/>
      <c r="B398" s="55"/>
      <c r="C398" s="56"/>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24.0" customHeight="1">
      <c r="A399" s="55"/>
      <c r="B399" s="55"/>
      <c r="C399" s="56"/>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24.0" customHeight="1">
      <c r="A400" s="55"/>
      <c r="B400" s="55"/>
      <c r="C400" s="56"/>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24.0" customHeight="1">
      <c r="A401" s="55"/>
      <c r="B401" s="55"/>
      <c r="C401" s="56"/>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24.0" customHeight="1">
      <c r="A402" s="55"/>
      <c r="B402" s="55"/>
      <c r="C402" s="56"/>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24.0" customHeight="1">
      <c r="A403" s="55"/>
      <c r="B403" s="55"/>
      <c r="C403" s="56"/>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24.0" customHeight="1">
      <c r="A404" s="55"/>
      <c r="B404" s="55"/>
      <c r="C404" s="56"/>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24.0" customHeight="1">
      <c r="A405" s="55"/>
      <c r="B405" s="55"/>
      <c r="C405" s="56"/>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24.0" customHeight="1">
      <c r="A406" s="55"/>
      <c r="B406" s="55"/>
      <c r="C406" s="56"/>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24.0" customHeight="1">
      <c r="A407" s="55"/>
      <c r="B407" s="55"/>
      <c r="C407" s="56"/>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24.0" customHeight="1">
      <c r="A408" s="55"/>
      <c r="B408" s="55"/>
      <c r="C408" s="56"/>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24.0" customHeight="1">
      <c r="A409" s="55"/>
      <c r="B409" s="55"/>
      <c r="C409" s="56"/>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24.0" customHeight="1">
      <c r="A410" s="55"/>
      <c r="B410" s="55"/>
      <c r="C410" s="56"/>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24.0" customHeight="1">
      <c r="A411" s="55"/>
      <c r="B411" s="55"/>
      <c r="C411" s="56"/>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24.0" customHeight="1">
      <c r="A412" s="55"/>
      <c r="B412" s="55"/>
      <c r="C412" s="56"/>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24.0" customHeight="1">
      <c r="A413" s="55"/>
      <c r="B413" s="55"/>
      <c r="C413" s="56"/>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24.0" customHeight="1">
      <c r="A414" s="55"/>
      <c r="B414" s="55"/>
      <c r="C414" s="56"/>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24.0" customHeight="1">
      <c r="A415" s="55"/>
      <c r="B415" s="55"/>
      <c r="C415" s="56"/>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24.0" customHeight="1">
      <c r="A416" s="55"/>
      <c r="B416" s="55"/>
      <c r="C416" s="56"/>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24.0" customHeight="1">
      <c r="A417" s="55"/>
      <c r="B417" s="55"/>
      <c r="C417" s="56"/>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24.0" customHeight="1">
      <c r="A418" s="55"/>
      <c r="B418" s="55"/>
      <c r="C418" s="56"/>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24.0" customHeight="1">
      <c r="A419" s="55"/>
      <c r="B419" s="55"/>
      <c r="C419" s="56"/>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24.0" customHeight="1">
      <c r="A420" s="55"/>
      <c r="B420" s="55"/>
      <c r="C420" s="56"/>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24.0" customHeight="1">
      <c r="A421" s="55"/>
      <c r="B421" s="55"/>
      <c r="C421" s="56"/>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24.0" customHeight="1">
      <c r="A422" s="55"/>
      <c r="B422" s="55"/>
      <c r="C422" s="56"/>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24.0" customHeight="1">
      <c r="A423" s="55"/>
      <c r="B423" s="55"/>
      <c r="C423" s="56"/>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24.0" customHeight="1">
      <c r="A424" s="55"/>
      <c r="B424" s="55"/>
      <c r="C424" s="56"/>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24.0" customHeight="1">
      <c r="A425" s="55"/>
      <c r="B425" s="55"/>
      <c r="C425" s="56"/>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24.0" customHeight="1">
      <c r="A426" s="55"/>
      <c r="B426" s="55"/>
      <c r="C426" s="56"/>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24.0" customHeight="1">
      <c r="A427" s="55"/>
      <c r="B427" s="55"/>
      <c r="C427" s="56"/>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24.0" customHeight="1">
      <c r="A428" s="55"/>
      <c r="B428" s="55"/>
      <c r="C428" s="56"/>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24.0" customHeight="1">
      <c r="A429" s="55"/>
      <c r="B429" s="55"/>
      <c r="C429" s="56"/>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24.0" customHeight="1">
      <c r="A430" s="55"/>
      <c r="B430" s="55"/>
      <c r="C430" s="56"/>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24.0" customHeight="1">
      <c r="A431" s="55"/>
      <c r="B431" s="55"/>
      <c r="C431" s="56"/>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24.0" customHeight="1">
      <c r="A432" s="55"/>
      <c r="B432" s="55"/>
      <c r="C432" s="56"/>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24.0" customHeight="1">
      <c r="A433" s="55"/>
      <c r="B433" s="55"/>
      <c r="C433" s="56"/>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24.0" customHeight="1">
      <c r="A434" s="55"/>
      <c r="B434" s="55"/>
      <c r="C434" s="56"/>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24.0" customHeight="1">
      <c r="A435" s="55"/>
      <c r="B435" s="55"/>
      <c r="C435" s="56"/>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24.0" customHeight="1">
      <c r="A436" s="55"/>
      <c r="B436" s="55"/>
      <c r="C436" s="56"/>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24.0" customHeight="1">
      <c r="A437" s="55"/>
      <c r="B437" s="55"/>
      <c r="C437" s="56"/>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24.0" customHeight="1">
      <c r="A438" s="55"/>
      <c r="B438" s="55"/>
      <c r="C438" s="56"/>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24.0" customHeight="1">
      <c r="A439" s="55"/>
      <c r="B439" s="55"/>
      <c r="C439" s="56"/>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24.0" customHeight="1">
      <c r="A440" s="55"/>
      <c r="B440" s="55"/>
      <c r="C440" s="56"/>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24.0" customHeight="1">
      <c r="A441" s="55"/>
      <c r="B441" s="55"/>
      <c r="C441" s="56"/>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24.0" customHeight="1">
      <c r="A442" s="55"/>
      <c r="B442" s="55"/>
      <c r="C442" s="56"/>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24.0" customHeight="1">
      <c r="A443" s="55"/>
      <c r="B443" s="55"/>
      <c r="C443" s="56"/>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24.0" customHeight="1">
      <c r="A444" s="55"/>
      <c r="B444" s="55"/>
      <c r="C444" s="56"/>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24.0" customHeight="1">
      <c r="A445" s="55"/>
      <c r="B445" s="55"/>
      <c r="C445" s="56"/>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24.0" customHeight="1">
      <c r="A446" s="55"/>
      <c r="B446" s="55"/>
      <c r="C446" s="56"/>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24.0" customHeight="1">
      <c r="A447" s="55"/>
      <c r="B447" s="55"/>
      <c r="C447" s="56"/>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24.0" customHeight="1">
      <c r="A448" s="55"/>
      <c r="B448" s="55"/>
      <c r="C448" s="56"/>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24.0" customHeight="1">
      <c r="A449" s="55"/>
      <c r="B449" s="55"/>
      <c r="C449" s="56"/>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24.0" customHeight="1">
      <c r="A450" s="55"/>
      <c r="B450" s="55"/>
      <c r="C450" s="56"/>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24.0" customHeight="1">
      <c r="A451" s="55"/>
      <c r="B451" s="55"/>
      <c r="C451" s="56"/>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24.0" customHeight="1">
      <c r="A452" s="55"/>
      <c r="B452" s="55"/>
      <c r="C452" s="56"/>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24.0" customHeight="1">
      <c r="A453" s="55"/>
      <c r="B453" s="55"/>
      <c r="C453" s="56"/>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24.0" customHeight="1">
      <c r="A454" s="55"/>
      <c r="B454" s="55"/>
      <c r="C454" s="56"/>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24.0" customHeight="1">
      <c r="A455" s="55"/>
      <c r="B455" s="55"/>
      <c r="C455" s="56"/>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24.0" customHeight="1">
      <c r="A456" s="55"/>
      <c r="B456" s="55"/>
      <c r="C456" s="56"/>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24.0" customHeight="1">
      <c r="A457" s="55"/>
      <c r="B457" s="55"/>
      <c r="C457" s="56"/>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24.0" customHeight="1">
      <c r="A458" s="55"/>
      <c r="B458" s="55"/>
      <c r="C458" s="56"/>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24.0" customHeight="1">
      <c r="A459" s="55"/>
      <c r="B459" s="55"/>
      <c r="C459" s="56"/>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24.0" customHeight="1">
      <c r="A460" s="55"/>
      <c r="B460" s="55"/>
      <c r="C460" s="56"/>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24.0" customHeight="1">
      <c r="A461" s="55"/>
      <c r="B461" s="55"/>
      <c r="C461" s="56"/>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24.0" customHeight="1">
      <c r="A462" s="55"/>
      <c r="B462" s="55"/>
      <c r="C462" s="56"/>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24.0" customHeight="1">
      <c r="A463" s="55"/>
      <c r="B463" s="55"/>
      <c r="C463" s="56"/>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24.0" customHeight="1">
      <c r="A464" s="55"/>
      <c r="B464" s="55"/>
      <c r="C464" s="56"/>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24.0" customHeight="1">
      <c r="A465" s="55"/>
      <c r="B465" s="55"/>
      <c r="C465" s="56"/>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24.0" customHeight="1">
      <c r="A466" s="55"/>
      <c r="B466" s="55"/>
      <c r="C466" s="56"/>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24.0" customHeight="1">
      <c r="A467" s="55"/>
      <c r="B467" s="55"/>
      <c r="C467" s="56"/>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24.0" customHeight="1">
      <c r="A468" s="55"/>
      <c r="B468" s="55"/>
      <c r="C468" s="56"/>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24.0" customHeight="1">
      <c r="A469" s="55"/>
      <c r="B469" s="55"/>
      <c r="C469" s="56"/>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24.0" customHeight="1">
      <c r="A470" s="55"/>
      <c r="B470" s="55"/>
      <c r="C470" s="56"/>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24.0" customHeight="1">
      <c r="A471" s="55"/>
      <c r="B471" s="55"/>
      <c r="C471" s="56"/>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24.0" customHeight="1">
      <c r="A472" s="55"/>
      <c r="B472" s="55"/>
      <c r="C472" s="56"/>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24.0" customHeight="1">
      <c r="A473" s="55"/>
      <c r="B473" s="55"/>
      <c r="C473" s="56"/>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24.0" customHeight="1">
      <c r="A474" s="55"/>
      <c r="B474" s="55"/>
      <c r="C474" s="56"/>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24.0" customHeight="1">
      <c r="A475" s="55"/>
      <c r="B475" s="55"/>
      <c r="C475" s="56"/>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24.0" customHeight="1">
      <c r="A476" s="55"/>
      <c r="B476" s="55"/>
      <c r="C476" s="56"/>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24.0" customHeight="1">
      <c r="A477" s="55"/>
      <c r="B477" s="55"/>
      <c r="C477" s="56"/>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24.0" customHeight="1">
      <c r="A478" s="55"/>
      <c r="B478" s="55"/>
      <c r="C478" s="56"/>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24.0" customHeight="1">
      <c r="A479" s="55"/>
      <c r="B479" s="55"/>
      <c r="C479" s="56"/>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24.0" customHeight="1">
      <c r="A480" s="55"/>
      <c r="B480" s="55"/>
      <c r="C480" s="56"/>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24.0" customHeight="1">
      <c r="A481" s="55"/>
      <c r="B481" s="55"/>
      <c r="C481" s="56"/>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24.0" customHeight="1">
      <c r="A482" s="55"/>
      <c r="B482" s="55"/>
      <c r="C482" s="56"/>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24.0" customHeight="1">
      <c r="A483" s="55"/>
      <c r="B483" s="55"/>
      <c r="C483" s="56"/>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24.0" customHeight="1">
      <c r="A484" s="55"/>
      <c r="B484" s="55"/>
      <c r="C484" s="56"/>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24.0" customHeight="1">
      <c r="A485" s="55"/>
      <c r="B485" s="55"/>
      <c r="C485" s="56"/>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24.0" customHeight="1">
      <c r="A486" s="55"/>
      <c r="B486" s="55"/>
      <c r="C486" s="56"/>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24.0" customHeight="1">
      <c r="A487" s="55"/>
      <c r="B487" s="55"/>
      <c r="C487" s="56"/>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24.0" customHeight="1">
      <c r="A488" s="55"/>
      <c r="B488" s="55"/>
      <c r="C488" s="56"/>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24.0" customHeight="1">
      <c r="A489" s="55"/>
      <c r="B489" s="55"/>
      <c r="C489" s="56"/>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24.0" customHeight="1">
      <c r="A490" s="55"/>
      <c r="B490" s="55"/>
      <c r="C490" s="56"/>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24.0" customHeight="1">
      <c r="A491" s="55"/>
      <c r="B491" s="55"/>
      <c r="C491" s="56"/>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24.0" customHeight="1">
      <c r="A492" s="55"/>
      <c r="B492" s="55"/>
      <c r="C492" s="56"/>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24.0" customHeight="1">
      <c r="A493" s="55"/>
      <c r="B493" s="55"/>
      <c r="C493" s="56"/>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24.0" customHeight="1">
      <c r="A494" s="55"/>
      <c r="B494" s="55"/>
      <c r="C494" s="56"/>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24.0" customHeight="1">
      <c r="A495" s="55"/>
      <c r="B495" s="55"/>
      <c r="C495" s="56"/>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24.0" customHeight="1">
      <c r="A496" s="55"/>
      <c r="B496" s="55"/>
      <c r="C496" s="56"/>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24.0" customHeight="1">
      <c r="A497" s="55"/>
      <c r="B497" s="55"/>
      <c r="C497" s="56"/>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24.0" customHeight="1">
      <c r="A498" s="55"/>
      <c r="B498" s="55"/>
      <c r="C498" s="56"/>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24.0" customHeight="1">
      <c r="A499" s="55"/>
      <c r="B499" s="55"/>
      <c r="C499" s="56"/>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24.0" customHeight="1">
      <c r="A500" s="55"/>
      <c r="B500" s="55"/>
      <c r="C500" s="56"/>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24.0" customHeight="1">
      <c r="A501" s="55"/>
      <c r="B501" s="55"/>
      <c r="C501" s="56"/>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24.0" customHeight="1">
      <c r="A502" s="55"/>
      <c r="B502" s="55"/>
      <c r="C502" s="56"/>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24.0" customHeight="1">
      <c r="A503" s="55"/>
      <c r="B503" s="55"/>
      <c r="C503" s="56"/>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24.0" customHeight="1">
      <c r="A504" s="55"/>
      <c r="B504" s="55"/>
      <c r="C504" s="56"/>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24.0" customHeight="1">
      <c r="A505" s="55"/>
      <c r="B505" s="55"/>
      <c r="C505" s="56"/>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24.0" customHeight="1">
      <c r="A506" s="55"/>
      <c r="B506" s="55"/>
      <c r="C506" s="56"/>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24.0" customHeight="1">
      <c r="A507" s="55"/>
      <c r="B507" s="55"/>
      <c r="C507" s="56"/>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24.0" customHeight="1">
      <c r="A508" s="55"/>
      <c r="B508" s="55"/>
      <c r="C508" s="56"/>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24.0" customHeight="1">
      <c r="A509" s="55"/>
      <c r="B509" s="55"/>
      <c r="C509" s="56"/>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24.0" customHeight="1">
      <c r="A510" s="55"/>
      <c r="B510" s="55"/>
      <c r="C510" s="56"/>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24.0" customHeight="1">
      <c r="A511" s="55"/>
      <c r="B511" s="55"/>
      <c r="C511" s="56"/>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24.0" customHeight="1">
      <c r="A512" s="55"/>
      <c r="B512" s="55"/>
      <c r="C512" s="56"/>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24.0" customHeight="1">
      <c r="A513" s="55"/>
      <c r="B513" s="55"/>
      <c r="C513" s="56"/>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24.0" customHeight="1">
      <c r="A514" s="55"/>
      <c r="B514" s="55"/>
      <c r="C514" s="56"/>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24.0" customHeight="1">
      <c r="A515" s="55"/>
      <c r="B515" s="55"/>
      <c r="C515" s="56"/>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24.0" customHeight="1">
      <c r="A516" s="55"/>
      <c r="B516" s="55"/>
      <c r="C516" s="56"/>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24.0" customHeight="1">
      <c r="A517" s="55"/>
      <c r="B517" s="55"/>
      <c r="C517" s="56"/>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24.0" customHeight="1">
      <c r="A518" s="55"/>
      <c r="B518" s="55"/>
      <c r="C518" s="56"/>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24.0" customHeight="1">
      <c r="A519" s="55"/>
      <c r="B519" s="55"/>
      <c r="C519" s="56"/>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24.0" customHeight="1">
      <c r="A520" s="55"/>
      <c r="B520" s="55"/>
      <c r="C520" s="56"/>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24.0" customHeight="1">
      <c r="A521" s="55"/>
      <c r="B521" s="55"/>
      <c r="C521" s="56"/>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24.0" customHeight="1">
      <c r="A522" s="55"/>
      <c r="B522" s="55"/>
      <c r="C522" s="56"/>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24.0" customHeight="1">
      <c r="A523" s="55"/>
      <c r="B523" s="55"/>
      <c r="C523" s="56"/>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24.0" customHeight="1">
      <c r="A524" s="55"/>
      <c r="B524" s="55"/>
      <c r="C524" s="56"/>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24.0" customHeight="1">
      <c r="A525" s="55"/>
      <c r="B525" s="55"/>
      <c r="C525" s="56"/>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24.0" customHeight="1">
      <c r="A526" s="55"/>
      <c r="B526" s="55"/>
      <c r="C526" s="56"/>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24.0" customHeight="1">
      <c r="A527" s="55"/>
      <c r="B527" s="55"/>
      <c r="C527" s="56"/>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24.0" customHeight="1">
      <c r="A528" s="55"/>
      <c r="B528" s="55"/>
      <c r="C528" s="56"/>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24.0" customHeight="1">
      <c r="A529" s="55"/>
      <c r="B529" s="55"/>
      <c r="C529" s="56"/>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24.0" customHeight="1">
      <c r="A530" s="55"/>
      <c r="B530" s="55"/>
      <c r="C530" s="56"/>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24.0" customHeight="1">
      <c r="A531" s="55"/>
      <c r="B531" s="55"/>
      <c r="C531" s="56"/>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24.0" customHeight="1">
      <c r="A532" s="55"/>
      <c r="B532" s="55"/>
      <c r="C532" s="56"/>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24.0" customHeight="1">
      <c r="A533" s="55"/>
      <c r="B533" s="55"/>
      <c r="C533" s="56"/>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24.0" customHeight="1">
      <c r="A534" s="55"/>
      <c r="B534" s="55"/>
      <c r="C534" s="56"/>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24.0" customHeight="1">
      <c r="A535" s="55"/>
      <c r="B535" s="55"/>
      <c r="C535" s="56"/>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24.0" customHeight="1">
      <c r="A536" s="55"/>
      <c r="B536" s="55"/>
      <c r="C536" s="56"/>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24.0" customHeight="1">
      <c r="A537" s="55"/>
      <c r="B537" s="55"/>
      <c r="C537" s="56"/>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24.0" customHeight="1">
      <c r="A538" s="55"/>
      <c r="B538" s="55"/>
      <c r="C538" s="56"/>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24.0" customHeight="1">
      <c r="A539" s="55"/>
      <c r="B539" s="55"/>
      <c r="C539" s="56"/>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24.0" customHeight="1">
      <c r="A540" s="55"/>
      <c r="B540" s="55"/>
      <c r="C540" s="56"/>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24.0" customHeight="1">
      <c r="A541" s="55"/>
      <c r="B541" s="55"/>
      <c r="C541" s="56"/>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24.0" customHeight="1">
      <c r="A542" s="55"/>
      <c r="B542" s="55"/>
      <c r="C542" s="56"/>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24.0" customHeight="1">
      <c r="A543" s="55"/>
      <c r="B543" s="55"/>
      <c r="C543" s="56"/>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24.0" customHeight="1">
      <c r="A544" s="55"/>
      <c r="B544" s="55"/>
      <c r="C544" s="56"/>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24.0" customHeight="1">
      <c r="A545" s="55"/>
      <c r="B545" s="55"/>
      <c r="C545" s="56"/>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24.0" customHeight="1">
      <c r="A546" s="55"/>
      <c r="B546" s="55"/>
      <c r="C546" s="56"/>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24.0" customHeight="1">
      <c r="A547" s="55"/>
      <c r="B547" s="55"/>
      <c r="C547" s="56"/>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24.0" customHeight="1">
      <c r="A548" s="55"/>
      <c r="B548" s="55"/>
      <c r="C548" s="56"/>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24.0" customHeight="1">
      <c r="A549" s="55"/>
      <c r="B549" s="55"/>
      <c r="C549" s="56"/>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24.0" customHeight="1">
      <c r="A550" s="55"/>
      <c r="B550" s="55"/>
      <c r="C550" s="56"/>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24.0" customHeight="1">
      <c r="A551" s="55"/>
      <c r="B551" s="55"/>
      <c r="C551" s="56"/>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24.0" customHeight="1">
      <c r="A552" s="55"/>
      <c r="B552" s="55"/>
      <c r="C552" s="56"/>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24.0" customHeight="1">
      <c r="A553" s="55"/>
      <c r="B553" s="55"/>
      <c r="C553" s="56"/>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24.0" customHeight="1">
      <c r="A554" s="55"/>
      <c r="B554" s="55"/>
      <c r="C554" s="56"/>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24.0" customHeight="1">
      <c r="A555" s="55"/>
      <c r="B555" s="55"/>
      <c r="C555" s="56"/>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24.0" customHeight="1">
      <c r="A556" s="55"/>
      <c r="B556" s="55"/>
      <c r="C556" s="56"/>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24.0" customHeight="1">
      <c r="A557" s="55"/>
      <c r="B557" s="55"/>
      <c r="C557" s="56"/>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24.0" customHeight="1">
      <c r="A558" s="55"/>
      <c r="B558" s="55"/>
      <c r="C558" s="56"/>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24.0" customHeight="1">
      <c r="A559" s="55"/>
      <c r="B559" s="55"/>
      <c r="C559" s="56"/>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24.0" customHeight="1">
      <c r="A560" s="55"/>
      <c r="B560" s="55"/>
      <c r="C560" s="56"/>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24.0" customHeight="1">
      <c r="A561" s="55"/>
      <c r="B561" s="55"/>
      <c r="C561" s="56"/>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24.0" customHeight="1">
      <c r="A562" s="55"/>
      <c r="B562" s="55"/>
      <c r="C562" s="56"/>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24.0" customHeight="1">
      <c r="A563" s="55"/>
      <c r="B563" s="55"/>
      <c r="C563" s="56"/>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24.0" customHeight="1">
      <c r="A564" s="55"/>
      <c r="B564" s="55"/>
      <c r="C564" s="56"/>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24.0" customHeight="1">
      <c r="A565" s="55"/>
      <c r="B565" s="55"/>
      <c r="C565" s="56"/>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24.0" customHeight="1">
      <c r="A566" s="55"/>
      <c r="B566" s="55"/>
      <c r="C566" s="56"/>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24.0" customHeight="1">
      <c r="A567" s="55"/>
      <c r="B567" s="55"/>
      <c r="C567" s="56"/>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24.0" customHeight="1">
      <c r="A568" s="55"/>
      <c r="B568" s="55"/>
      <c r="C568" s="56"/>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24.0" customHeight="1">
      <c r="A569" s="55"/>
      <c r="B569" s="55"/>
      <c r="C569" s="56"/>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24.0" customHeight="1">
      <c r="A570" s="55"/>
      <c r="B570" s="55"/>
      <c r="C570" s="56"/>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24.0" customHeight="1">
      <c r="A571" s="55"/>
      <c r="B571" s="55"/>
      <c r="C571" s="56"/>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24.0" customHeight="1">
      <c r="A572" s="55"/>
      <c r="B572" s="55"/>
      <c r="C572" s="56"/>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24.0" customHeight="1">
      <c r="A573" s="55"/>
      <c r="B573" s="55"/>
      <c r="C573" s="56"/>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24.0" customHeight="1">
      <c r="A574" s="55"/>
      <c r="B574" s="55"/>
      <c r="C574" s="56"/>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24.0" customHeight="1">
      <c r="A575" s="55"/>
      <c r="B575" s="55"/>
      <c r="C575" s="56"/>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24.0" customHeight="1">
      <c r="A576" s="55"/>
      <c r="B576" s="55"/>
      <c r="C576" s="56"/>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24.0" customHeight="1">
      <c r="A577" s="55"/>
      <c r="B577" s="55"/>
      <c r="C577" s="56"/>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24.0" customHeight="1">
      <c r="A578" s="55"/>
      <c r="B578" s="55"/>
      <c r="C578" s="56"/>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24.0" customHeight="1">
      <c r="A579" s="55"/>
      <c r="B579" s="55"/>
      <c r="C579" s="56"/>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24.0" customHeight="1">
      <c r="A580" s="55"/>
      <c r="B580" s="55"/>
      <c r="C580" s="56"/>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24.0" customHeight="1">
      <c r="A581" s="55"/>
      <c r="B581" s="55"/>
      <c r="C581" s="56"/>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24.0" customHeight="1">
      <c r="A582" s="55"/>
      <c r="B582" s="55"/>
      <c r="C582" s="56"/>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24.0" customHeight="1">
      <c r="A583" s="55"/>
      <c r="B583" s="55"/>
      <c r="C583" s="56"/>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24.0" customHeight="1">
      <c r="A584" s="55"/>
      <c r="B584" s="55"/>
      <c r="C584" s="56"/>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24.0" customHeight="1">
      <c r="A585" s="55"/>
      <c r="B585" s="55"/>
      <c r="C585" s="56"/>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24.0" customHeight="1">
      <c r="A586" s="55"/>
      <c r="B586" s="55"/>
      <c r="C586" s="56"/>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24.0" customHeight="1">
      <c r="A587" s="55"/>
      <c r="B587" s="55"/>
      <c r="C587" s="56"/>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24.0" customHeight="1">
      <c r="A588" s="55"/>
      <c r="B588" s="55"/>
      <c r="C588" s="56"/>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24.0" customHeight="1">
      <c r="A589" s="55"/>
      <c r="B589" s="55"/>
      <c r="C589" s="56"/>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24.0" customHeight="1">
      <c r="A590" s="55"/>
      <c r="B590" s="55"/>
      <c r="C590" s="56"/>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24.0" customHeight="1">
      <c r="A591" s="55"/>
      <c r="B591" s="55"/>
      <c r="C591" s="56"/>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24.0" customHeight="1">
      <c r="A592" s="55"/>
      <c r="B592" s="55"/>
      <c r="C592" s="56"/>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24.0" customHeight="1">
      <c r="A593" s="55"/>
      <c r="B593" s="55"/>
      <c r="C593" s="56"/>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24.0" customHeight="1">
      <c r="A594" s="55"/>
      <c r="B594" s="55"/>
      <c r="C594" s="56"/>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24.0" customHeight="1">
      <c r="A595" s="55"/>
      <c r="B595" s="55"/>
      <c r="C595" s="56"/>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24.0" customHeight="1">
      <c r="A596" s="55"/>
      <c r="B596" s="55"/>
      <c r="C596" s="56"/>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24.0" customHeight="1">
      <c r="A597" s="55"/>
      <c r="B597" s="55"/>
      <c r="C597" s="56"/>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24.0" customHeight="1">
      <c r="A598" s="55"/>
      <c r="B598" s="55"/>
      <c r="C598" s="56"/>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24.0" customHeight="1">
      <c r="A599" s="55"/>
      <c r="B599" s="55"/>
      <c r="C599" s="56"/>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24.0" customHeight="1">
      <c r="A600" s="55"/>
      <c r="B600" s="55"/>
      <c r="C600" s="56"/>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24.0" customHeight="1">
      <c r="A601" s="55"/>
      <c r="B601" s="55"/>
      <c r="C601" s="56"/>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24.0" customHeight="1">
      <c r="A602" s="55"/>
      <c r="B602" s="55"/>
      <c r="C602" s="56"/>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24.0" customHeight="1">
      <c r="A603" s="55"/>
      <c r="B603" s="55"/>
      <c r="C603" s="56"/>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24.0" customHeight="1">
      <c r="A604" s="55"/>
      <c r="B604" s="55"/>
      <c r="C604" s="56"/>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24.0" customHeight="1">
      <c r="A605" s="55"/>
      <c r="B605" s="55"/>
      <c r="C605" s="56"/>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24.0" customHeight="1">
      <c r="A606" s="55"/>
      <c r="B606" s="55"/>
      <c r="C606" s="56"/>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24.0" customHeight="1">
      <c r="A607" s="55"/>
      <c r="B607" s="55"/>
      <c r="C607" s="56"/>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24.0" customHeight="1">
      <c r="A608" s="55"/>
      <c r="B608" s="55"/>
      <c r="C608" s="56"/>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24.0" customHeight="1">
      <c r="A609" s="55"/>
      <c r="B609" s="55"/>
      <c r="C609" s="56"/>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24.0" customHeight="1">
      <c r="A610" s="55"/>
      <c r="B610" s="55"/>
      <c r="C610" s="56"/>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24.0" customHeight="1">
      <c r="A611" s="55"/>
      <c r="B611" s="55"/>
      <c r="C611" s="56"/>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24.0" customHeight="1">
      <c r="A612" s="55"/>
      <c r="B612" s="55"/>
      <c r="C612" s="56"/>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24.0" customHeight="1">
      <c r="A613" s="55"/>
      <c r="B613" s="55"/>
      <c r="C613" s="56"/>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24.0" customHeight="1">
      <c r="A614" s="55"/>
      <c r="B614" s="55"/>
      <c r="C614" s="56"/>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24.0" customHeight="1">
      <c r="A615" s="55"/>
      <c r="B615" s="55"/>
      <c r="C615" s="56"/>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24.0" customHeight="1">
      <c r="A616" s="55"/>
      <c r="B616" s="55"/>
      <c r="C616" s="56"/>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24.0" customHeight="1">
      <c r="A617" s="55"/>
      <c r="B617" s="55"/>
      <c r="C617" s="56"/>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24.0" customHeight="1">
      <c r="A618" s="55"/>
      <c r="B618" s="55"/>
      <c r="C618" s="56"/>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24.0" customHeight="1">
      <c r="A619" s="55"/>
      <c r="B619" s="55"/>
      <c r="C619" s="56"/>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24.0" customHeight="1">
      <c r="A620" s="55"/>
      <c r="B620" s="55"/>
      <c r="C620" s="56"/>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24.0" customHeight="1">
      <c r="A621" s="55"/>
      <c r="B621" s="55"/>
      <c r="C621" s="56"/>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24.0" customHeight="1">
      <c r="A622" s="55"/>
      <c r="B622" s="55"/>
      <c r="C622" s="56"/>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24.0" customHeight="1">
      <c r="A623" s="55"/>
      <c r="B623" s="55"/>
      <c r="C623" s="56"/>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24.0" customHeight="1">
      <c r="A624" s="55"/>
      <c r="B624" s="55"/>
      <c r="C624" s="56"/>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24.0" customHeight="1">
      <c r="A625" s="55"/>
      <c r="B625" s="55"/>
      <c r="C625" s="56"/>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24.0" customHeight="1">
      <c r="A626" s="55"/>
      <c r="B626" s="55"/>
      <c r="C626" s="56"/>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24.0" customHeight="1">
      <c r="A627" s="55"/>
      <c r="B627" s="55"/>
      <c r="C627" s="56"/>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24.0" customHeight="1">
      <c r="A628" s="55"/>
      <c r="B628" s="55"/>
      <c r="C628" s="56"/>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24.0" customHeight="1">
      <c r="A629" s="55"/>
      <c r="B629" s="55"/>
      <c r="C629" s="56"/>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24.0" customHeight="1">
      <c r="A630" s="55"/>
      <c r="B630" s="55"/>
      <c r="C630" s="56"/>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24.0" customHeight="1">
      <c r="A631" s="55"/>
      <c r="B631" s="55"/>
      <c r="C631" s="56"/>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24.0" customHeight="1">
      <c r="A632" s="55"/>
      <c r="B632" s="55"/>
      <c r="C632" s="56"/>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24.0" customHeight="1">
      <c r="A633" s="55"/>
      <c r="B633" s="55"/>
      <c r="C633" s="56"/>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24.0" customHeight="1">
      <c r="A634" s="55"/>
      <c r="B634" s="55"/>
      <c r="C634" s="56"/>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24.0" customHeight="1">
      <c r="A635" s="55"/>
      <c r="B635" s="55"/>
      <c r="C635" s="56"/>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24.0" customHeight="1">
      <c r="A636" s="55"/>
      <c r="B636" s="55"/>
      <c r="C636" s="56"/>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24.0" customHeight="1">
      <c r="A637" s="55"/>
      <c r="B637" s="55"/>
      <c r="C637" s="56"/>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24.0" customHeight="1">
      <c r="A638" s="55"/>
      <c r="B638" s="55"/>
      <c r="C638" s="56"/>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24.0" customHeight="1">
      <c r="A639" s="55"/>
      <c r="B639" s="55"/>
      <c r="C639" s="56"/>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24.0" customHeight="1">
      <c r="A640" s="55"/>
      <c r="B640" s="55"/>
      <c r="C640" s="56"/>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24.0" customHeight="1">
      <c r="A641" s="55"/>
      <c r="B641" s="55"/>
      <c r="C641" s="56"/>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24.0" customHeight="1">
      <c r="A642" s="55"/>
      <c r="B642" s="55"/>
      <c r="C642" s="56"/>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24.0" customHeight="1">
      <c r="A643" s="55"/>
      <c r="B643" s="55"/>
      <c r="C643" s="56"/>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24.0" customHeight="1">
      <c r="A644" s="55"/>
      <c r="B644" s="55"/>
      <c r="C644" s="56"/>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24.0" customHeight="1">
      <c r="A645" s="55"/>
      <c r="B645" s="55"/>
      <c r="C645" s="56"/>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24.0" customHeight="1">
      <c r="A646" s="55"/>
      <c r="B646" s="55"/>
      <c r="C646" s="56"/>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24.0" customHeight="1">
      <c r="A647" s="55"/>
      <c r="B647" s="55"/>
      <c r="C647" s="56"/>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24.0" customHeight="1">
      <c r="A648" s="55"/>
      <c r="B648" s="55"/>
      <c r="C648" s="56"/>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24.0" customHeight="1">
      <c r="A649" s="55"/>
      <c r="B649" s="55"/>
      <c r="C649" s="56"/>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24.0" customHeight="1">
      <c r="A650" s="55"/>
      <c r="B650" s="55"/>
      <c r="C650" s="56"/>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24.0" customHeight="1">
      <c r="A651" s="55"/>
      <c r="B651" s="55"/>
      <c r="C651" s="56"/>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24.0" customHeight="1">
      <c r="A652" s="55"/>
      <c r="B652" s="55"/>
      <c r="C652" s="56"/>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24.0" customHeight="1">
      <c r="A653" s="55"/>
      <c r="B653" s="55"/>
      <c r="C653" s="56"/>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24.0" customHeight="1">
      <c r="A654" s="55"/>
      <c r="B654" s="55"/>
      <c r="C654" s="56"/>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24.0" customHeight="1">
      <c r="A655" s="55"/>
      <c r="B655" s="55"/>
      <c r="C655" s="56"/>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24.0" customHeight="1">
      <c r="A656" s="55"/>
      <c r="B656" s="55"/>
      <c r="C656" s="56"/>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24.0" customHeight="1">
      <c r="A657" s="55"/>
      <c r="B657" s="55"/>
      <c r="C657" s="56"/>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24.0" customHeight="1">
      <c r="A658" s="55"/>
      <c r="B658" s="55"/>
      <c r="C658" s="56"/>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24.0" customHeight="1">
      <c r="A659" s="55"/>
      <c r="B659" s="55"/>
      <c r="C659" s="56"/>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24.0" customHeight="1">
      <c r="A660" s="55"/>
      <c r="B660" s="55"/>
      <c r="C660" s="56"/>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24.0" customHeight="1">
      <c r="A661" s="55"/>
      <c r="B661" s="55"/>
      <c r="C661" s="56"/>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24.0" customHeight="1">
      <c r="A662" s="55"/>
      <c r="B662" s="55"/>
      <c r="C662" s="56"/>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24.0" customHeight="1">
      <c r="A663" s="55"/>
      <c r="B663" s="55"/>
      <c r="C663" s="56"/>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24.0" customHeight="1">
      <c r="A664" s="55"/>
      <c r="B664" s="55"/>
      <c r="C664" s="56"/>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24.0" customHeight="1">
      <c r="A665" s="55"/>
      <c r="B665" s="55"/>
      <c r="C665" s="56"/>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24.0" customHeight="1">
      <c r="A666" s="55"/>
      <c r="B666" s="55"/>
      <c r="C666" s="56"/>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24.0" customHeight="1">
      <c r="A667" s="55"/>
      <c r="B667" s="55"/>
      <c r="C667" s="56"/>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24.0" customHeight="1">
      <c r="A668" s="55"/>
      <c r="B668" s="55"/>
      <c r="C668" s="56"/>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24.0" customHeight="1">
      <c r="A669" s="55"/>
      <c r="B669" s="55"/>
      <c r="C669" s="56"/>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24.0" customHeight="1">
      <c r="A670" s="55"/>
      <c r="B670" s="55"/>
      <c r="C670" s="56"/>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24.0" customHeight="1">
      <c r="A671" s="55"/>
      <c r="B671" s="55"/>
      <c r="C671" s="56"/>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24.0" customHeight="1">
      <c r="A672" s="55"/>
      <c r="B672" s="55"/>
      <c r="C672" s="56"/>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24.0" customHeight="1">
      <c r="A673" s="55"/>
      <c r="B673" s="55"/>
      <c r="C673" s="56"/>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24.0" customHeight="1">
      <c r="A674" s="55"/>
      <c r="B674" s="55"/>
      <c r="C674" s="56"/>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24.0" customHeight="1">
      <c r="A675" s="55"/>
      <c r="B675" s="55"/>
      <c r="C675" s="56"/>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24.0" customHeight="1">
      <c r="A676" s="55"/>
      <c r="B676" s="55"/>
      <c r="C676" s="56"/>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24.0" customHeight="1">
      <c r="A677" s="55"/>
      <c r="B677" s="55"/>
      <c r="C677" s="56"/>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24.0" customHeight="1">
      <c r="A678" s="55"/>
      <c r="B678" s="55"/>
      <c r="C678" s="56"/>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24.0" customHeight="1">
      <c r="A679" s="55"/>
      <c r="B679" s="55"/>
      <c r="C679" s="56"/>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24.0" customHeight="1">
      <c r="A680" s="55"/>
      <c r="B680" s="55"/>
      <c r="C680" s="56"/>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24.0" customHeight="1">
      <c r="A681" s="55"/>
      <c r="B681" s="55"/>
      <c r="C681" s="56"/>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24.0" customHeight="1">
      <c r="A682" s="55"/>
      <c r="B682" s="55"/>
      <c r="C682" s="56"/>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24.0" customHeight="1">
      <c r="A683" s="55"/>
      <c r="B683" s="55"/>
      <c r="C683" s="56"/>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24.0" customHeight="1">
      <c r="A684" s="55"/>
      <c r="B684" s="55"/>
      <c r="C684" s="56"/>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24.0" customHeight="1">
      <c r="A685" s="55"/>
      <c r="B685" s="55"/>
      <c r="C685" s="56"/>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24.0" customHeight="1">
      <c r="A686" s="55"/>
      <c r="B686" s="55"/>
      <c r="C686" s="56"/>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24.0" customHeight="1">
      <c r="A687" s="55"/>
      <c r="B687" s="55"/>
      <c r="C687" s="56"/>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24.0" customHeight="1">
      <c r="A688" s="55"/>
      <c r="B688" s="55"/>
      <c r="C688" s="56"/>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24.0" customHeight="1">
      <c r="A689" s="55"/>
      <c r="B689" s="55"/>
      <c r="C689" s="56"/>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24.0" customHeight="1">
      <c r="A690" s="55"/>
      <c r="B690" s="55"/>
      <c r="C690" s="56"/>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24.0" customHeight="1">
      <c r="A691" s="55"/>
      <c r="B691" s="55"/>
      <c r="C691" s="56"/>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24.0" customHeight="1">
      <c r="A692" s="55"/>
      <c r="B692" s="55"/>
      <c r="C692" s="56"/>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24.0" customHeight="1">
      <c r="A693" s="55"/>
      <c r="B693" s="55"/>
      <c r="C693" s="56"/>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24.0" customHeight="1">
      <c r="A694" s="55"/>
      <c r="B694" s="55"/>
      <c r="C694" s="56"/>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24.0" customHeight="1">
      <c r="A695" s="55"/>
      <c r="B695" s="55"/>
      <c r="C695" s="56"/>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24.0" customHeight="1">
      <c r="A696" s="55"/>
      <c r="B696" s="55"/>
      <c r="C696" s="56"/>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24.0" customHeight="1">
      <c r="A697" s="55"/>
      <c r="B697" s="55"/>
      <c r="C697" s="56"/>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24.0" customHeight="1">
      <c r="A698" s="55"/>
      <c r="B698" s="55"/>
      <c r="C698" s="56"/>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24.0" customHeight="1">
      <c r="A699" s="55"/>
      <c r="B699" s="55"/>
      <c r="C699" s="56"/>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24.0" customHeight="1">
      <c r="A700" s="55"/>
      <c r="B700" s="55"/>
      <c r="C700" s="56"/>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24.0" customHeight="1">
      <c r="A701" s="55"/>
      <c r="B701" s="55"/>
      <c r="C701" s="56"/>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24.0" customHeight="1">
      <c r="A702" s="55"/>
      <c r="B702" s="55"/>
      <c r="C702" s="56"/>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24.0" customHeight="1">
      <c r="A703" s="55"/>
      <c r="B703" s="55"/>
      <c r="C703" s="56"/>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24.0" customHeight="1">
      <c r="A704" s="55"/>
      <c r="B704" s="55"/>
      <c r="C704" s="56"/>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24.0" customHeight="1">
      <c r="A705" s="55"/>
      <c r="B705" s="55"/>
      <c r="C705" s="56"/>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24.0" customHeight="1">
      <c r="A706" s="55"/>
      <c r="B706" s="55"/>
      <c r="C706" s="56"/>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24.0" customHeight="1">
      <c r="A707" s="55"/>
      <c r="B707" s="55"/>
      <c r="C707" s="56"/>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24.0" customHeight="1">
      <c r="A708" s="55"/>
      <c r="B708" s="55"/>
      <c r="C708" s="56"/>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24.0" customHeight="1">
      <c r="A709" s="55"/>
      <c r="B709" s="55"/>
      <c r="C709" s="56"/>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24.0" customHeight="1">
      <c r="A710" s="55"/>
      <c r="B710" s="55"/>
      <c r="C710" s="56"/>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24.0" customHeight="1">
      <c r="A711" s="55"/>
      <c r="B711" s="55"/>
      <c r="C711" s="56"/>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24.0" customHeight="1">
      <c r="A712" s="55"/>
      <c r="B712" s="55"/>
      <c r="C712" s="56"/>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24.0" customHeight="1">
      <c r="A713" s="55"/>
      <c r="B713" s="55"/>
      <c r="C713" s="56"/>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24.0" customHeight="1">
      <c r="A714" s="55"/>
      <c r="B714" s="55"/>
      <c r="C714" s="56"/>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24.0" customHeight="1">
      <c r="A715" s="55"/>
      <c r="B715" s="55"/>
      <c r="C715" s="56"/>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24.0" customHeight="1">
      <c r="A716" s="55"/>
      <c r="B716" s="55"/>
      <c r="C716" s="56"/>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24.0" customHeight="1">
      <c r="A717" s="55"/>
      <c r="B717" s="55"/>
      <c r="C717" s="56"/>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24.0" customHeight="1">
      <c r="A718" s="55"/>
      <c r="B718" s="55"/>
      <c r="C718" s="56"/>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24.0" customHeight="1">
      <c r="A719" s="55"/>
      <c r="B719" s="55"/>
      <c r="C719" s="56"/>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24.0" customHeight="1">
      <c r="A720" s="55"/>
      <c r="B720" s="55"/>
      <c r="C720" s="56"/>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24.0" customHeight="1">
      <c r="A721" s="55"/>
      <c r="B721" s="55"/>
      <c r="C721" s="56"/>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24.0" customHeight="1">
      <c r="A722" s="55"/>
      <c r="B722" s="55"/>
      <c r="C722" s="56"/>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24.0" customHeight="1">
      <c r="A723" s="55"/>
      <c r="B723" s="55"/>
      <c r="C723" s="56"/>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24.0" customHeight="1">
      <c r="A724" s="55"/>
      <c r="B724" s="55"/>
      <c r="C724" s="56"/>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24.0" customHeight="1">
      <c r="A725" s="55"/>
      <c r="B725" s="55"/>
      <c r="C725" s="56"/>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24.0" customHeight="1">
      <c r="A726" s="55"/>
      <c r="B726" s="55"/>
      <c r="C726" s="56"/>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24.0" customHeight="1">
      <c r="A727" s="55"/>
      <c r="B727" s="55"/>
      <c r="C727" s="56"/>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24.0" customHeight="1">
      <c r="A728" s="55"/>
      <c r="B728" s="55"/>
      <c r="C728" s="56"/>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24.0" customHeight="1">
      <c r="A729" s="55"/>
      <c r="B729" s="55"/>
      <c r="C729" s="56"/>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24.0" customHeight="1">
      <c r="A730" s="55"/>
      <c r="B730" s="55"/>
      <c r="C730" s="56"/>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24.0" customHeight="1">
      <c r="A731" s="55"/>
      <c r="B731" s="55"/>
      <c r="C731" s="56"/>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24.0" customHeight="1">
      <c r="A732" s="55"/>
      <c r="B732" s="55"/>
      <c r="C732" s="56"/>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24.0" customHeight="1">
      <c r="A733" s="55"/>
      <c r="B733" s="55"/>
      <c r="C733" s="56"/>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24.0" customHeight="1">
      <c r="A734" s="55"/>
      <c r="B734" s="55"/>
      <c r="C734" s="56"/>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24.0" customHeight="1">
      <c r="A735" s="55"/>
      <c r="B735" s="55"/>
      <c r="C735" s="56"/>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24.0" customHeight="1">
      <c r="A736" s="55"/>
      <c r="B736" s="55"/>
      <c r="C736" s="56"/>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24.0" customHeight="1">
      <c r="A737" s="55"/>
      <c r="B737" s="55"/>
      <c r="C737" s="56"/>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24.0" customHeight="1">
      <c r="A738" s="55"/>
      <c r="B738" s="55"/>
      <c r="C738" s="56"/>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24.0" customHeight="1">
      <c r="A739" s="55"/>
      <c r="B739" s="55"/>
      <c r="C739" s="56"/>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24.0" customHeight="1">
      <c r="A740" s="55"/>
      <c r="B740" s="55"/>
      <c r="C740" s="56"/>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24.0" customHeight="1">
      <c r="A741" s="55"/>
      <c r="B741" s="55"/>
      <c r="C741" s="56"/>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24.0" customHeight="1">
      <c r="A742" s="55"/>
      <c r="B742" s="55"/>
      <c r="C742" s="56"/>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24.0" customHeight="1">
      <c r="A743" s="55"/>
      <c r="B743" s="55"/>
      <c r="C743" s="56"/>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24.0" customHeight="1">
      <c r="A744" s="55"/>
      <c r="B744" s="55"/>
      <c r="C744" s="56"/>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24.0" customHeight="1">
      <c r="A745" s="55"/>
      <c r="B745" s="55"/>
      <c r="C745" s="56"/>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24.0" customHeight="1">
      <c r="A746" s="55"/>
      <c r="B746" s="55"/>
      <c r="C746" s="56"/>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24.0" customHeight="1">
      <c r="A747" s="55"/>
      <c r="B747" s="55"/>
      <c r="C747" s="56"/>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24.0" customHeight="1">
      <c r="A748" s="55"/>
      <c r="B748" s="55"/>
      <c r="C748" s="56"/>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24.0" customHeight="1">
      <c r="A749" s="55"/>
      <c r="B749" s="55"/>
      <c r="C749" s="56"/>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24.0" customHeight="1">
      <c r="A750" s="55"/>
      <c r="B750" s="55"/>
      <c r="C750" s="56"/>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24.0" customHeight="1">
      <c r="A751" s="55"/>
      <c r="B751" s="55"/>
      <c r="C751" s="56"/>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24.0" customHeight="1">
      <c r="A752" s="55"/>
      <c r="B752" s="55"/>
      <c r="C752" s="56"/>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24.0" customHeight="1">
      <c r="A753" s="55"/>
      <c r="B753" s="55"/>
      <c r="C753" s="56"/>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24.0" customHeight="1">
      <c r="A754" s="55"/>
      <c r="B754" s="55"/>
      <c r="C754" s="56"/>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24.0" customHeight="1">
      <c r="A755" s="55"/>
      <c r="B755" s="55"/>
      <c r="C755" s="56"/>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24.0" customHeight="1">
      <c r="A756" s="55"/>
      <c r="B756" s="55"/>
      <c r="C756" s="56"/>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24.0" customHeight="1">
      <c r="A757" s="55"/>
      <c r="B757" s="55"/>
      <c r="C757" s="56"/>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24.0" customHeight="1">
      <c r="A758" s="55"/>
      <c r="B758" s="55"/>
      <c r="C758" s="56"/>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24.0" customHeight="1">
      <c r="A759" s="55"/>
      <c r="B759" s="55"/>
      <c r="C759" s="56"/>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24.0" customHeight="1">
      <c r="A760" s="55"/>
      <c r="B760" s="55"/>
      <c r="C760" s="56"/>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24.0" customHeight="1">
      <c r="A761" s="55"/>
      <c r="B761" s="55"/>
      <c r="C761" s="56"/>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24.0" customHeight="1">
      <c r="A762" s="55"/>
      <c r="B762" s="55"/>
      <c r="C762" s="56"/>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24.0" customHeight="1">
      <c r="A763" s="55"/>
      <c r="B763" s="55"/>
      <c r="C763" s="56"/>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24.0" customHeight="1">
      <c r="A764" s="55"/>
      <c r="B764" s="55"/>
      <c r="C764" s="56"/>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24.0" customHeight="1">
      <c r="A765" s="55"/>
      <c r="B765" s="55"/>
      <c r="C765" s="56"/>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24.0" customHeight="1">
      <c r="A766" s="55"/>
      <c r="B766" s="55"/>
      <c r="C766" s="56"/>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24.0" customHeight="1">
      <c r="A767" s="55"/>
      <c r="B767" s="55"/>
      <c r="C767" s="56"/>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24.0" customHeight="1">
      <c r="A768" s="55"/>
      <c r="B768" s="55"/>
      <c r="C768" s="56"/>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24.0" customHeight="1">
      <c r="A769" s="55"/>
      <c r="B769" s="55"/>
      <c r="C769" s="56"/>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24.0" customHeight="1">
      <c r="A770" s="55"/>
      <c r="B770" s="55"/>
      <c r="C770" s="56"/>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24.0" customHeight="1">
      <c r="A771" s="55"/>
      <c r="B771" s="55"/>
      <c r="C771" s="56"/>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24.0" customHeight="1">
      <c r="A772" s="55"/>
      <c r="B772" s="55"/>
      <c r="C772" s="56"/>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24.0" customHeight="1">
      <c r="A773" s="55"/>
      <c r="B773" s="55"/>
      <c r="C773" s="56"/>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24.0" customHeight="1">
      <c r="A774" s="55"/>
      <c r="B774" s="55"/>
      <c r="C774" s="56"/>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24.0" customHeight="1">
      <c r="A775" s="55"/>
      <c r="B775" s="55"/>
      <c r="C775" s="56"/>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24.0" customHeight="1">
      <c r="A776" s="55"/>
      <c r="B776" s="55"/>
      <c r="C776" s="56"/>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24.0" customHeight="1">
      <c r="A777" s="55"/>
      <c r="B777" s="55"/>
      <c r="C777" s="56"/>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24.0" customHeight="1">
      <c r="A778" s="55"/>
      <c r="B778" s="55"/>
      <c r="C778" s="56"/>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24.0" customHeight="1">
      <c r="A779" s="55"/>
      <c r="B779" s="55"/>
      <c r="C779" s="56"/>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24.0" customHeight="1">
      <c r="A780" s="55"/>
      <c r="B780" s="55"/>
      <c r="C780" s="56"/>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24.0" customHeight="1">
      <c r="A781" s="55"/>
      <c r="B781" s="55"/>
      <c r="C781" s="56"/>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24.0" customHeight="1">
      <c r="A782" s="55"/>
      <c r="B782" s="55"/>
      <c r="C782" s="56"/>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24.0" customHeight="1">
      <c r="A783" s="55"/>
      <c r="B783" s="55"/>
      <c r="C783" s="56"/>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24.0" customHeight="1">
      <c r="A784" s="55"/>
      <c r="B784" s="55"/>
      <c r="C784" s="56"/>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24.0" customHeight="1">
      <c r="A785" s="55"/>
      <c r="B785" s="55"/>
      <c r="C785" s="56"/>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24.0" customHeight="1">
      <c r="A786" s="55"/>
      <c r="B786" s="55"/>
      <c r="C786" s="56"/>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24.0" customHeight="1">
      <c r="A787" s="55"/>
      <c r="B787" s="55"/>
      <c r="C787" s="56"/>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24.0" customHeight="1">
      <c r="A788" s="55"/>
      <c r="B788" s="55"/>
      <c r="C788" s="56"/>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24.0" customHeight="1">
      <c r="A789" s="55"/>
      <c r="B789" s="55"/>
      <c r="C789" s="56"/>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24.0" customHeight="1">
      <c r="A790" s="55"/>
      <c r="B790" s="55"/>
      <c r="C790" s="56"/>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24.0" customHeight="1">
      <c r="A791" s="55"/>
      <c r="B791" s="55"/>
      <c r="C791" s="56"/>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24.0" customHeight="1">
      <c r="A792" s="55"/>
      <c r="B792" s="55"/>
      <c r="C792" s="56"/>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24.0" customHeight="1">
      <c r="A793" s="55"/>
      <c r="B793" s="55"/>
      <c r="C793" s="56"/>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24.0" customHeight="1">
      <c r="A794" s="55"/>
      <c r="B794" s="55"/>
      <c r="C794" s="56"/>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24.0" customHeight="1">
      <c r="A795" s="55"/>
      <c r="B795" s="55"/>
      <c r="C795" s="56"/>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24.0" customHeight="1">
      <c r="A796" s="55"/>
      <c r="B796" s="55"/>
      <c r="C796" s="56"/>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24.0" customHeight="1">
      <c r="A797" s="55"/>
      <c r="B797" s="55"/>
      <c r="C797" s="56"/>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24.0" customHeight="1">
      <c r="A798" s="55"/>
      <c r="B798" s="55"/>
      <c r="C798" s="56"/>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24.0" customHeight="1">
      <c r="A799" s="55"/>
      <c r="B799" s="55"/>
      <c r="C799" s="56"/>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24.0" customHeight="1">
      <c r="A800" s="55"/>
      <c r="B800" s="55"/>
      <c r="C800" s="56"/>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24.0" customHeight="1">
      <c r="A801" s="55"/>
      <c r="B801" s="55"/>
      <c r="C801" s="56"/>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24.0" customHeight="1">
      <c r="A802" s="55"/>
      <c r="B802" s="55"/>
      <c r="C802" s="56"/>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24.0" customHeight="1">
      <c r="A803" s="55"/>
      <c r="B803" s="55"/>
      <c r="C803" s="56"/>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24.0" customHeight="1">
      <c r="A804" s="55"/>
      <c r="B804" s="55"/>
      <c r="C804" s="56"/>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24.0" customHeight="1">
      <c r="A805" s="55"/>
      <c r="B805" s="55"/>
      <c r="C805" s="56"/>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24.0" customHeight="1">
      <c r="A806" s="55"/>
      <c r="B806" s="55"/>
      <c r="C806" s="56"/>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24.0" customHeight="1">
      <c r="A807" s="55"/>
      <c r="B807" s="55"/>
      <c r="C807" s="56"/>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24.0" customHeight="1">
      <c r="A808" s="55"/>
      <c r="B808" s="55"/>
      <c r="C808" s="56"/>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24.0" customHeight="1">
      <c r="A809" s="55"/>
      <c r="B809" s="55"/>
      <c r="C809" s="56"/>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24.0" customHeight="1">
      <c r="A810" s="55"/>
      <c r="B810" s="55"/>
      <c r="C810" s="56"/>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24.0" customHeight="1">
      <c r="A811" s="55"/>
      <c r="B811" s="55"/>
      <c r="C811" s="56"/>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24.0" customHeight="1">
      <c r="A812" s="55"/>
      <c r="B812" s="55"/>
      <c r="C812" s="56"/>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24.0" customHeight="1">
      <c r="A813" s="55"/>
      <c r="B813" s="55"/>
      <c r="C813" s="56"/>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24.0" customHeight="1">
      <c r="A814" s="55"/>
      <c r="B814" s="55"/>
      <c r="C814" s="56"/>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24.0" customHeight="1">
      <c r="A815" s="55"/>
      <c r="B815" s="55"/>
      <c r="C815" s="56"/>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24.0" customHeight="1">
      <c r="A816" s="55"/>
      <c r="B816" s="55"/>
      <c r="C816" s="56"/>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24.0" customHeight="1">
      <c r="A817" s="55"/>
      <c r="B817" s="55"/>
      <c r="C817" s="56"/>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24.0" customHeight="1">
      <c r="A818" s="55"/>
      <c r="B818" s="55"/>
      <c r="C818" s="56"/>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24.0" customHeight="1">
      <c r="A819" s="55"/>
      <c r="B819" s="55"/>
      <c r="C819" s="56"/>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24.0" customHeight="1">
      <c r="A820" s="55"/>
      <c r="B820" s="55"/>
      <c r="C820" s="56"/>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24.0" customHeight="1">
      <c r="A821" s="55"/>
      <c r="B821" s="55"/>
      <c r="C821" s="56"/>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24.0" customHeight="1">
      <c r="A822" s="55"/>
      <c r="B822" s="55"/>
      <c r="C822" s="56"/>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24.0" customHeight="1">
      <c r="A823" s="55"/>
      <c r="B823" s="55"/>
      <c r="C823" s="56"/>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24.0" customHeight="1">
      <c r="A824" s="55"/>
      <c r="B824" s="55"/>
      <c r="C824" s="56"/>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24.0" customHeight="1">
      <c r="A825" s="55"/>
      <c r="B825" s="55"/>
      <c r="C825" s="56"/>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24.0" customHeight="1">
      <c r="A826" s="55"/>
      <c r="B826" s="55"/>
      <c r="C826" s="56"/>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24.0" customHeight="1">
      <c r="A827" s="55"/>
      <c r="B827" s="55"/>
      <c r="C827" s="56"/>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24.0" customHeight="1">
      <c r="A828" s="55"/>
      <c r="B828" s="55"/>
      <c r="C828" s="56"/>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24.0" customHeight="1">
      <c r="A829" s="55"/>
      <c r="B829" s="55"/>
      <c r="C829" s="56"/>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24.0" customHeight="1">
      <c r="A830" s="55"/>
      <c r="B830" s="55"/>
      <c r="C830" s="56"/>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24.0" customHeight="1">
      <c r="A831" s="55"/>
      <c r="B831" s="55"/>
      <c r="C831" s="56"/>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24.0" customHeight="1">
      <c r="A832" s="55"/>
      <c r="B832" s="55"/>
      <c r="C832" s="56"/>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24.0" customHeight="1">
      <c r="A833" s="55"/>
      <c r="B833" s="55"/>
      <c r="C833" s="56"/>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24.0" customHeight="1">
      <c r="A834" s="55"/>
      <c r="B834" s="55"/>
      <c r="C834" s="56"/>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24.0" customHeight="1">
      <c r="A835" s="55"/>
      <c r="B835" s="55"/>
      <c r="C835" s="56"/>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24.0" customHeight="1">
      <c r="A836" s="55"/>
      <c r="B836" s="55"/>
      <c r="C836" s="56"/>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24.0" customHeight="1">
      <c r="A837" s="55"/>
      <c r="B837" s="55"/>
      <c r="C837" s="56"/>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24.0" customHeight="1">
      <c r="A838" s="55"/>
      <c r="B838" s="55"/>
      <c r="C838" s="56"/>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24.0" customHeight="1">
      <c r="A839" s="55"/>
      <c r="B839" s="55"/>
      <c r="C839" s="56"/>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24.0" customHeight="1">
      <c r="A840" s="55"/>
      <c r="B840" s="55"/>
      <c r="C840" s="56"/>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24.0" customHeight="1">
      <c r="A841" s="55"/>
      <c r="B841" s="55"/>
      <c r="C841" s="56"/>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24.0" customHeight="1">
      <c r="A842" s="55"/>
      <c r="B842" s="55"/>
      <c r="C842" s="56"/>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24.0" customHeight="1">
      <c r="A843" s="55"/>
      <c r="B843" s="55"/>
      <c r="C843" s="56"/>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24.0" customHeight="1">
      <c r="A844" s="55"/>
      <c r="B844" s="55"/>
      <c r="C844" s="56"/>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24.0" customHeight="1">
      <c r="A845" s="55"/>
      <c r="B845" s="55"/>
      <c r="C845" s="56"/>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24.0" customHeight="1">
      <c r="A846" s="55"/>
      <c r="B846" s="55"/>
      <c r="C846" s="56"/>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24.0" customHeight="1">
      <c r="A847" s="55"/>
      <c r="B847" s="55"/>
      <c r="C847" s="56"/>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24.0" customHeight="1">
      <c r="A848" s="55"/>
      <c r="B848" s="55"/>
      <c r="C848" s="56"/>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24.0" customHeight="1">
      <c r="A849" s="55"/>
      <c r="B849" s="55"/>
      <c r="C849" s="56"/>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24.0" customHeight="1">
      <c r="A850" s="55"/>
      <c r="B850" s="55"/>
      <c r="C850" s="56"/>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24.0" customHeight="1">
      <c r="A851" s="55"/>
      <c r="B851" s="55"/>
      <c r="C851" s="56"/>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24.0" customHeight="1">
      <c r="A852" s="55"/>
      <c r="B852" s="55"/>
      <c r="C852" s="56"/>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24.0" customHeight="1">
      <c r="A853" s="55"/>
      <c r="B853" s="55"/>
      <c r="C853" s="56"/>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24.0" customHeight="1">
      <c r="A854" s="55"/>
      <c r="B854" s="55"/>
      <c r="C854" s="56"/>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24.0" customHeight="1">
      <c r="A855" s="55"/>
      <c r="B855" s="55"/>
      <c r="C855" s="56"/>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24.0" customHeight="1">
      <c r="A856" s="55"/>
      <c r="B856" s="55"/>
      <c r="C856" s="56"/>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24.0" customHeight="1">
      <c r="A857" s="55"/>
      <c r="B857" s="55"/>
      <c r="C857" s="56"/>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24.0" customHeight="1">
      <c r="A858" s="55"/>
      <c r="B858" s="55"/>
      <c r="C858" s="56"/>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24.0" customHeight="1">
      <c r="A859" s="55"/>
      <c r="B859" s="55"/>
      <c r="C859" s="56"/>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24.0" customHeight="1">
      <c r="A860" s="55"/>
      <c r="B860" s="55"/>
      <c r="C860" s="56"/>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24.0" customHeight="1">
      <c r="A861" s="55"/>
      <c r="B861" s="55"/>
      <c r="C861" s="56"/>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24.0" customHeight="1">
      <c r="A862" s="55"/>
      <c r="B862" s="55"/>
      <c r="C862" s="56"/>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24.0" customHeight="1">
      <c r="A863" s="55"/>
      <c r="B863" s="55"/>
      <c r="C863" s="56"/>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24.0" customHeight="1">
      <c r="A864" s="55"/>
      <c r="B864" s="55"/>
      <c r="C864" s="56"/>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24.0" customHeight="1">
      <c r="A865" s="55"/>
      <c r="B865" s="55"/>
      <c r="C865" s="56"/>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24.0" customHeight="1">
      <c r="A866" s="55"/>
      <c r="B866" s="55"/>
      <c r="C866" s="56"/>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24.0" customHeight="1">
      <c r="A867" s="55"/>
      <c r="B867" s="55"/>
      <c r="C867" s="56"/>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24.0" customHeight="1">
      <c r="A868" s="55"/>
      <c r="B868" s="55"/>
      <c r="C868" s="56"/>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24.0" customHeight="1">
      <c r="A869" s="55"/>
      <c r="B869" s="55"/>
      <c r="C869" s="56"/>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24.0" customHeight="1">
      <c r="A870" s="55"/>
      <c r="B870" s="55"/>
      <c r="C870" s="56"/>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24.0" customHeight="1">
      <c r="A871" s="55"/>
      <c r="B871" s="55"/>
      <c r="C871" s="56"/>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24.0" customHeight="1">
      <c r="A872" s="55"/>
      <c r="B872" s="55"/>
      <c r="C872" s="56"/>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24.0" customHeight="1">
      <c r="A873" s="55"/>
      <c r="B873" s="55"/>
      <c r="C873" s="56"/>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24.0" customHeight="1">
      <c r="A874" s="55"/>
      <c r="B874" s="55"/>
      <c r="C874" s="56"/>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24.0" customHeight="1">
      <c r="A875" s="55"/>
      <c r="B875" s="55"/>
      <c r="C875" s="56"/>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24.0" customHeight="1">
      <c r="A876" s="55"/>
      <c r="B876" s="55"/>
      <c r="C876" s="56"/>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24.0" customHeight="1">
      <c r="A877" s="55"/>
      <c r="B877" s="55"/>
      <c r="C877" s="56"/>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24.0" customHeight="1">
      <c r="A878" s="55"/>
      <c r="B878" s="55"/>
      <c r="C878" s="56"/>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24.0" customHeight="1">
      <c r="A879" s="55"/>
      <c r="B879" s="55"/>
      <c r="C879" s="56"/>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24.0" customHeight="1">
      <c r="A880" s="55"/>
      <c r="B880" s="55"/>
      <c r="C880" s="56"/>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24.0" customHeight="1">
      <c r="A881" s="55"/>
      <c r="B881" s="55"/>
      <c r="C881" s="56"/>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24.0" customHeight="1">
      <c r="A882" s="55"/>
      <c r="B882" s="55"/>
      <c r="C882" s="56"/>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24.0" customHeight="1">
      <c r="A883" s="55"/>
      <c r="B883" s="55"/>
      <c r="C883" s="56"/>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24.0" customHeight="1">
      <c r="A884" s="55"/>
      <c r="B884" s="55"/>
      <c r="C884" s="56"/>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24.0" customHeight="1">
      <c r="A885" s="55"/>
      <c r="B885" s="55"/>
      <c r="C885" s="56"/>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24.0" customHeight="1">
      <c r="A886" s="55"/>
      <c r="B886" s="55"/>
      <c r="C886" s="56"/>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24.0" customHeight="1">
      <c r="A887" s="55"/>
      <c r="B887" s="55"/>
      <c r="C887" s="56"/>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24.0" customHeight="1">
      <c r="A888" s="55"/>
      <c r="B888" s="55"/>
      <c r="C888" s="56"/>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24.0" customHeight="1">
      <c r="A889" s="55"/>
      <c r="B889" s="55"/>
      <c r="C889" s="56"/>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24.0" customHeight="1">
      <c r="A890" s="55"/>
      <c r="B890" s="55"/>
      <c r="C890" s="56"/>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24.0" customHeight="1">
      <c r="A891" s="55"/>
      <c r="B891" s="55"/>
      <c r="C891" s="56"/>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24.0" customHeight="1">
      <c r="A892" s="55"/>
      <c r="B892" s="55"/>
      <c r="C892" s="56"/>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24.0" customHeight="1">
      <c r="A893" s="55"/>
      <c r="B893" s="55"/>
      <c r="C893" s="56"/>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24.0" customHeight="1">
      <c r="A894" s="55"/>
      <c r="B894" s="55"/>
      <c r="C894" s="56"/>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24.0" customHeight="1">
      <c r="A895" s="55"/>
      <c r="B895" s="55"/>
      <c r="C895" s="56"/>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24.0" customHeight="1">
      <c r="A896" s="55"/>
      <c r="B896" s="55"/>
      <c r="C896" s="56"/>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24.0" customHeight="1">
      <c r="A897" s="55"/>
      <c r="B897" s="55"/>
      <c r="C897" s="56"/>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24.0" customHeight="1">
      <c r="A898" s="55"/>
      <c r="B898" s="55"/>
      <c r="C898" s="56"/>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24.0" customHeight="1">
      <c r="A899" s="55"/>
      <c r="B899" s="55"/>
      <c r="C899" s="56"/>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24.0" customHeight="1">
      <c r="A900" s="55"/>
      <c r="B900" s="55"/>
      <c r="C900" s="56"/>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24.0" customHeight="1">
      <c r="A901" s="55"/>
      <c r="B901" s="55"/>
      <c r="C901" s="56"/>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24.0" customHeight="1">
      <c r="A902" s="55"/>
      <c r="B902" s="55"/>
      <c r="C902" s="56"/>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24.0" customHeight="1">
      <c r="A903" s="55"/>
      <c r="B903" s="55"/>
      <c r="C903" s="56"/>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24.0" customHeight="1">
      <c r="A904" s="55"/>
      <c r="B904" s="55"/>
      <c r="C904" s="56"/>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24.0" customHeight="1">
      <c r="A905" s="55"/>
      <c r="B905" s="55"/>
      <c r="C905" s="56"/>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24.0" customHeight="1">
      <c r="A906" s="55"/>
      <c r="B906" s="55"/>
      <c r="C906" s="56"/>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24.0" customHeight="1">
      <c r="A907" s="55"/>
      <c r="B907" s="55"/>
      <c r="C907" s="56"/>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24.0" customHeight="1">
      <c r="A908" s="55"/>
      <c r="B908" s="55"/>
      <c r="C908" s="56"/>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24.0" customHeight="1">
      <c r="A909" s="55"/>
      <c r="B909" s="55"/>
      <c r="C909" s="56"/>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24.0" customHeight="1">
      <c r="A910" s="55"/>
      <c r="B910" s="55"/>
      <c r="C910" s="56"/>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24.0" customHeight="1">
      <c r="A911" s="55"/>
      <c r="B911" s="55"/>
      <c r="C911" s="56"/>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24.0" customHeight="1">
      <c r="A912" s="55"/>
      <c r="B912" s="55"/>
      <c r="C912" s="56"/>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24.0" customHeight="1">
      <c r="A913" s="55"/>
      <c r="B913" s="55"/>
      <c r="C913" s="56"/>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24.0" customHeight="1">
      <c r="A914" s="55"/>
      <c r="B914" s="55"/>
      <c r="C914" s="56"/>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24.0" customHeight="1">
      <c r="A915" s="55"/>
      <c r="B915" s="55"/>
      <c r="C915" s="56"/>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24.0" customHeight="1">
      <c r="A916" s="55"/>
      <c r="B916" s="55"/>
      <c r="C916" s="56"/>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24.0" customHeight="1">
      <c r="A917" s="55"/>
      <c r="B917" s="55"/>
      <c r="C917" s="56"/>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24.0" customHeight="1">
      <c r="A918" s="55"/>
      <c r="B918" s="55"/>
      <c r="C918" s="56"/>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24.0" customHeight="1">
      <c r="A919" s="55"/>
      <c r="B919" s="55"/>
      <c r="C919" s="56"/>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24.0" customHeight="1">
      <c r="A920" s="55"/>
      <c r="B920" s="55"/>
      <c r="C920" s="56"/>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24.0" customHeight="1">
      <c r="A921" s="55"/>
      <c r="B921" s="55"/>
      <c r="C921" s="56"/>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24.0" customHeight="1">
      <c r="A922" s="55"/>
      <c r="B922" s="55"/>
      <c r="C922" s="56"/>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24.0" customHeight="1">
      <c r="A923" s="55"/>
      <c r="B923" s="55"/>
      <c r="C923" s="56"/>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24.0" customHeight="1">
      <c r="A924" s="55"/>
      <c r="B924" s="55"/>
      <c r="C924" s="56"/>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24.0" customHeight="1">
      <c r="A925" s="55"/>
      <c r="B925" s="55"/>
      <c r="C925" s="56"/>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24.0" customHeight="1">
      <c r="A926" s="55"/>
      <c r="B926" s="55"/>
      <c r="C926" s="56"/>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24.0" customHeight="1">
      <c r="A927" s="55"/>
      <c r="B927" s="55"/>
      <c r="C927" s="56"/>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24.0" customHeight="1">
      <c r="A928" s="55"/>
      <c r="B928" s="55"/>
      <c r="C928" s="56"/>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24.0" customHeight="1">
      <c r="A929" s="55"/>
      <c r="B929" s="55"/>
      <c r="C929" s="56"/>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24.0" customHeight="1">
      <c r="A930" s="55"/>
      <c r="B930" s="55"/>
      <c r="C930" s="56"/>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24.0" customHeight="1">
      <c r="A931" s="55"/>
      <c r="B931" s="55"/>
      <c r="C931" s="56"/>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24.0" customHeight="1">
      <c r="A932" s="55"/>
      <c r="B932" s="55"/>
      <c r="C932" s="56"/>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24.0" customHeight="1">
      <c r="A933" s="55"/>
      <c r="B933" s="55"/>
      <c r="C933" s="56"/>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24.0" customHeight="1">
      <c r="A934" s="55"/>
      <c r="B934" s="55"/>
      <c r="C934" s="56"/>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24.0" customHeight="1">
      <c r="A935" s="55"/>
      <c r="B935" s="55"/>
      <c r="C935" s="56"/>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24.0" customHeight="1">
      <c r="A936" s="55"/>
      <c r="B936" s="55"/>
      <c r="C936" s="56"/>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24.0" customHeight="1">
      <c r="A937" s="55"/>
      <c r="B937" s="55"/>
      <c r="C937" s="56"/>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24.0" customHeight="1">
      <c r="A938" s="55"/>
      <c r="B938" s="55"/>
      <c r="C938" s="56"/>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24.0" customHeight="1">
      <c r="A939" s="55"/>
      <c r="B939" s="55"/>
      <c r="C939" s="56"/>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24.0" customHeight="1">
      <c r="A940" s="55"/>
      <c r="B940" s="55"/>
      <c r="C940" s="56"/>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24.0" customHeight="1">
      <c r="A941" s="55"/>
      <c r="B941" s="55"/>
      <c r="C941" s="56"/>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24.0" customHeight="1">
      <c r="A942" s="55"/>
      <c r="B942" s="55"/>
      <c r="C942" s="56"/>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24.0" customHeight="1">
      <c r="A943" s="55"/>
      <c r="B943" s="55"/>
      <c r="C943" s="56"/>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24.0" customHeight="1">
      <c r="A944" s="55"/>
      <c r="B944" s="55"/>
      <c r="C944" s="56"/>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24.0" customHeight="1">
      <c r="A945" s="55"/>
      <c r="B945" s="55"/>
      <c r="C945" s="56"/>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24.0" customHeight="1">
      <c r="A946" s="55"/>
      <c r="B946" s="55"/>
      <c r="C946" s="56"/>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24.0" customHeight="1">
      <c r="A947" s="55"/>
      <c r="B947" s="55"/>
      <c r="C947" s="56"/>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24.0" customHeight="1">
      <c r="A948" s="55"/>
      <c r="B948" s="55"/>
      <c r="C948" s="56"/>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24.0" customHeight="1">
      <c r="A949" s="55"/>
      <c r="B949" s="55"/>
      <c r="C949" s="56"/>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24.0" customHeight="1">
      <c r="A950" s="55"/>
      <c r="B950" s="55"/>
      <c r="C950" s="56"/>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24.0" customHeight="1">
      <c r="A951" s="55"/>
      <c r="B951" s="55"/>
      <c r="C951" s="56"/>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24.0" customHeight="1">
      <c r="A952" s="55"/>
      <c r="B952" s="55"/>
      <c r="C952" s="56"/>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24.0" customHeight="1">
      <c r="A953" s="55"/>
      <c r="B953" s="55"/>
      <c r="C953" s="56"/>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24.0" customHeight="1">
      <c r="A954" s="55"/>
      <c r="B954" s="55"/>
      <c r="C954" s="56"/>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24.0" customHeight="1">
      <c r="A955" s="55"/>
      <c r="B955" s="55"/>
      <c r="C955" s="56"/>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24.0" customHeight="1">
      <c r="A956" s="55"/>
      <c r="B956" s="55"/>
      <c r="C956" s="56"/>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24.0" customHeight="1">
      <c r="A957" s="55"/>
      <c r="B957" s="55"/>
      <c r="C957" s="56"/>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24.0" customHeight="1">
      <c r="A958" s="55"/>
      <c r="B958" s="55"/>
      <c r="C958" s="56"/>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24.0" customHeight="1">
      <c r="A959" s="55"/>
      <c r="B959" s="55"/>
      <c r="C959" s="56"/>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24.0" customHeight="1">
      <c r="A960" s="55"/>
      <c r="B960" s="55"/>
      <c r="C960" s="56"/>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24.0" customHeight="1">
      <c r="A961" s="55"/>
      <c r="B961" s="55"/>
      <c r="C961" s="56"/>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24.0" customHeight="1">
      <c r="A962" s="55"/>
      <c r="B962" s="55"/>
      <c r="C962" s="56"/>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24.0" customHeight="1">
      <c r="A963" s="55"/>
      <c r="B963" s="55"/>
      <c r="C963" s="56"/>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24.0" customHeight="1">
      <c r="A964" s="55"/>
      <c r="B964" s="55"/>
      <c r="C964" s="56"/>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24.0" customHeight="1">
      <c r="A965" s="55"/>
      <c r="B965" s="55"/>
      <c r="C965" s="56"/>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24.0" customHeight="1">
      <c r="A966" s="55"/>
      <c r="B966" s="55"/>
      <c r="C966" s="56"/>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24.0" customHeight="1">
      <c r="A967" s="55"/>
      <c r="B967" s="55"/>
      <c r="C967" s="56"/>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24.0" customHeight="1">
      <c r="A968" s="55"/>
      <c r="B968" s="55"/>
      <c r="C968" s="56"/>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24.0" customHeight="1">
      <c r="A969" s="55"/>
      <c r="B969" s="55"/>
      <c r="C969" s="56"/>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24.0" customHeight="1">
      <c r="A970" s="55"/>
      <c r="B970" s="55"/>
      <c r="C970" s="56"/>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24.0" customHeight="1">
      <c r="A971" s="55"/>
      <c r="B971" s="55"/>
      <c r="C971" s="56"/>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24.0" customHeight="1">
      <c r="A972" s="55"/>
      <c r="B972" s="55"/>
      <c r="C972" s="56"/>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24.0" customHeight="1">
      <c r="A973" s="55"/>
      <c r="B973" s="55"/>
      <c r="C973" s="56"/>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24.0" customHeight="1">
      <c r="A974" s="55"/>
      <c r="B974" s="55"/>
      <c r="C974" s="56"/>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24.0" customHeight="1">
      <c r="A975" s="55"/>
      <c r="B975" s="55"/>
      <c r="C975" s="56"/>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24.0" customHeight="1">
      <c r="A976" s="55"/>
      <c r="B976" s="55"/>
      <c r="C976" s="56"/>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24.0" customHeight="1">
      <c r="A977" s="55"/>
      <c r="B977" s="55"/>
      <c r="C977" s="56"/>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24.0" customHeight="1">
      <c r="A978" s="55"/>
      <c r="B978" s="55"/>
      <c r="C978" s="56"/>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24.0" customHeight="1">
      <c r="A979" s="55"/>
      <c r="B979" s="55"/>
      <c r="C979" s="56"/>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24.0" customHeight="1">
      <c r="A980" s="55"/>
      <c r="B980" s="55"/>
      <c r="C980" s="56"/>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24.0" customHeight="1">
      <c r="A981" s="55"/>
      <c r="B981" s="55"/>
      <c r="C981" s="56"/>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24.0" customHeight="1">
      <c r="A982" s="55"/>
      <c r="B982" s="55"/>
      <c r="C982" s="56"/>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24.0" customHeight="1">
      <c r="A983" s="55"/>
      <c r="B983" s="55"/>
      <c r="C983" s="56"/>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24.0" customHeight="1">
      <c r="A984" s="55"/>
      <c r="B984" s="55"/>
      <c r="C984" s="56"/>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24.0" customHeight="1">
      <c r="A985" s="55"/>
      <c r="B985" s="55"/>
      <c r="C985" s="56"/>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24.0" customHeight="1">
      <c r="A986" s="55"/>
      <c r="B986" s="55"/>
      <c r="C986" s="56"/>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24.0" customHeight="1">
      <c r="A987" s="55"/>
      <c r="B987" s="55"/>
      <c r="C987" s="56"/>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24.0" customHeight="1">
      <c r="A988" s="55"/>
      <c r="B988" s="55"/>
      <c r="C988" s="56"/>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24.0" customHeight="1">
      <c r="A989" s="55"/>
      <c r="B989" s="55"/>
      <c r="C989" s="56"/>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24.0" customHeight="1">
      <c r="A990" s="55"/>
      <c r="B990" s="55"/>
      <c r="C990" s="56"/>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24.0" customHeight="1">
      <c r="A991" s="55"/>
      <c r="B991" s="55"/>
      <c r="C991" s="56"/>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24.0" customHeight="1">
      <c r="A992" s="55"/>
      <c r="B992" s="55"/>
      <c r="C992" s="56"/>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24.0" customHeight="1">
      <c r="A993" s="55"/>
      <c r="B993" s="55"/>
      <c r="C993" s="56"/>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sheetData>
  <mergeCells count="7">
    <mergeCell ref="B2:H2"/>
    <mergeCell ref="B5:G5"/>
    <mergeCell ref="B14:G14"/>
    <mergeCell ref="B21:G21"/>
    <mergeCell ref="B24:G24"/>
    <mergeCell ref="B41:G41"/>
    <mergeCell ref="B44:G4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2.44"/>
    <col customWidth="1" min="2" max="2" width="19.44"/>
    <col customWidth="1" min="3" max="3" width="46.11"/>
    <col customWidth="1" min="4" max="4" width="35.33"/>
    <col customWidth="1" min="5" max="5" width="25.44"/>
    <col customWidth="1" min="6" max="6" width="22.78"/>
    <col customWidth="1" min="7" max="7" width="21.11"/>
    <col customWidth="1" min="8" max="15" width="8.78"/>
    <col customWidth="1" min="16" max="26" width="8.56"/>
  </cols>
  <sheetData>
    <row r="1" ht="24.0" customHeight="1">
      <c r="A1" s="79"/>
      <c r="B1" s="79"/>
      <c r="C1" s="79"/>
      <c r="D1" s="79"/>
      <c r="E1" s="79"/>
      <c r="F1" s="79"/>
      <c r="G1" s="79"/>
      <c r="H1" s="79"/>
      <c r="I1" s="79"/>
      <c r="J1" s="79"/>
      <c r="K1" s="79"/>
      <c r="L1" s="79"/>
      <c r="M1" s="79"/>
      <c r="N1" s="79"/>
      <c r="O1" s="79"/>
      <c r="P1" s="79"/>
      <c r="Q1" s="79"/>
      <c r="R1" s="79"/>
      <c r="S1" s="79"/>
      <c r="T1" s="79"/>
      <c r="U1" s="79"/>
      <c r="V1" s="79"/>
      <c r="W1" s="79"/>
      <c r="X1" s="79"/>
      <c r="Y1" s="79"/>
      <c r="Z1" s="79"/>
    </row>
    <row r="2" ht="24.0" customHeight="1">
      <c r="A2" s="79"/>
      <c r="B2" s="57" t="s">
        <v>121</v>
      </c>
      <c r="C2" s="8"/>
      <c r="D2" s="8"/>
      <c r="E2" s="8"/>
      <c r="F2" s="8"/>
      <c r="G2" s="8"/>
      <c r="H2" s="80"/>
      <c r="I2" s="80"/>
      <c r="J2" s="80"/>
      <c r="K2" s="80"/>
      <c r="L2" s="80"/>
      <c r="M2" s="80"/>
      <c r="N2" s="80"/>
      <c r="O2" s="80"/>
      <c r="P2" s="79"/>
      <c r="Q2" s="79"/>
      <c r="R2" s="79"/>
      <c r="S2" s="79"/>
      <c r="T2" s="79"/>
      <c r="U2" s="79"/>
      <c r="V2" s="79"/>
      <c r="W2" s="79"/>
      <c r="X2" s="79"/>
      <c r="Y2" s="79"/>
      <c r="Z2" s="79"/>
    </row>
    <row r="3" ht="24.0" customHeight="1">
      <c r="A3" s="79"/>
      <c r="B3" s="79"/>
      <c r="C3" s="79"/>
      <c r="D3" s="79"/>
      <c r="E3" s="79"/>
      <c r="F3" s="79"/>
      <c r="G3" s="79"/>
      <c r="H3" s="79"/>
      <c r="I3" s="79"/>
      <c r="J3" s="79"/>
      <c r="K3" s="79"/>
      <c r="L3" s="79"/>
      <c r="M3" s="79"/>
      <c r="N3" s="79"/>
      <c r="O3" s="79"/>
      <c r="P3" s="79"/>
      <c r="Q3" s="79"/>
      <c r="R3" s="79"/>
      <c r="S3" s="79"/>
      <c r="T3" s="79"/>
      <c r="U3" s="79"/>
      <c r="V3" s="79"/>
      <c r="W3" s="79"/>
      <c r="X3" s="79"/>
      <c r="Y3" s="79"/>
      <c r="Z3" s="79"/>
    </row>
    <row r="4" ht="24.0" customHeight="1">
      <c r="A4" s="79"/>
      <c r="B4" s="81" t="s">
        <v>122</v>
      </c>
      <c r="C4" s="25"/>
      <c r="D4" s="25"/>
      <c r="E4" s="25"/>
      <c r="F4" s="25"/>
      <c r="G4" s="26"/>
      <c r="H4" s="79"/>
      <c r="I4" s="79"/>
      <c r="J4" s="79"/>
      <c r="K4" s="79"/>
      <c r="L4" s="79"/>
      <c r="M4" s="79"/>
      <c r="N4" s="79"/>
      <c r="O4" s="79"/>
      <c r="P4" s="79"/>
      <c r="Q4" s="79"/>
      <c r="R4" s="79"/>
      <c r="S4" s="79"/>
      <c r="T4" s="79"/>
      <c r="U4" s="79"/>
      <c r="V4" s="79"/>
      <c r="W4" s="79"/>
      <c r="X4" s="79"/>
      <c r="Y4" s="79"/>
      <c r="Z4" s="79"/>
    </row>
    <row r="5" ht="24.0" customHeight="1">
      <c r="A5" s="79"/>
      <c r="B5" s="82" t="s">
        <v>123</v>
      </c>
      <c r="C5" s="82" t="s">
        <v>124</v>
      </c>
      <c r="D5" s="82" t="s">
        <v>125</v>
      </c>
      <c r="E5" s="82" t="s">
        <v>126</v>
      </c>
      <c r="F5" s="82" t="s">
        <v>127</v>
      </c>
      <c r="G5" s="82" t="s">
        <v>128</v>
      </c>
      <c r="H5" s="79"/>
      <c r="I5" s="79"/>
      <c r="J5" s="79"/>
      <c r="K5" s="79"/>
      <c r="L5" s="79"/>
      <c r="M5" s="79"/>
      <c r="N5" s="79"/>
      <c r="O5" s="79"/>
      <c r="P5" s="79"/>
      <c r="Q5" s="79"/>
      <c r="R5" s="79"/>
      <c r="S5" s="79"/>
      <c r="T5" s="79"/>
      <c r="U5" s="79"/>
      <c r="V5" s="79"/>
      <c r="W5" s="79"/>
      <c r="X5" s="79"/>
      <c r="Y5" s="79"/>
      <c r="Z5" s="79"/>
    </row>
    <row r="6" ht="24.0" customHeight="1">
      <c r="A6" s="79"/>
      <c r="B6" s="83">
        <v>45810.0</v>
      </c>
      <c r="C6" s="70" t="s">
        <v>129</v>
      </c>
      <c r="D6" s="70" t="s">
        <v>130</v>
      </c>
      <c r="E6" s="70" t="s">
        <v>131</v>
      </c>
      <c r="F6" s="84" t="s">
        <v>132</v>
      </c>
      <c r="G6" s="85"/>
      <c r="H6" s="79"/>
      <c r="I6" s="79"/>
      <c r="J6" s="79"/>
      <c r="K6" s="79"/>
      <c r="L6" s="79"/>
      <c r="M6" s="79"/>
      <c r="N6" s="79"/>
      <c r="O6" s="79"/>
      <c r="P6" s="79"/>
      <c r="Q6" s="79"/>
      <c r="R6" s="79"/>
      <c r="S6" s="79"/>
      <c r="T6" s="79"/>
      <c r="U6" s="79"/>
      <c r="V6" s="79"/>
      <c r="W6" s="79"/>
      <c r="X6" s="79"/>
      <c r="Y6" s="79"/>
      <c r="Z6" s="79"/>
    </row>
    <row r="7" ht="24.0" customHeight="1">
      <c r="A7" s="79"/>
      <c r="B7" s="83">
        <v>45810.0</v>
      </c>
      <c r="C7" s="70" t="s">
        <v>133</v>
      </c>
      <c r="D7" s="70" t="s">
        <v>134</v>
      </c>
      <c r="E7" s="70" t="s">
        <v>135</v>
      </c>
      <c r="F7" s="84" t="s">
        <v>132</v>
      </c>
      <c r="G7" s="85"/>
      <c r="H7" s="79"/>
      <c r="I7" s="79"/>
      <c r="J7" s="79"/>
      <c r="K7" s="79"/>
      <c r="L7" s="79"/>
      <c r="M7" s="79"/>
      <c r="N7" s="79"/>
      <c r="O7" s="79"/>
      <c r="P7" s="79"/>
      <c r="Q7" s="79"/>
      <c r="R7" s="79"/>
      <c r="S7" s="79"/>
      <c r="T7" s="79"/>
      <c r="U7" s="79"/>
      <c r="V7" s="79"/>
      <c r="W7" s="79"/>
      <c r="X7" s="79"/>
      <c r="Y7" s="79"/>
      <c r="Z7" s="79"/>
    </row>
    <row r="8" ht="24.0" customHeight="1">
      <c r="A8" s="79"/>
      <c r="B8" s="83">
        <v>45810.0</v>
      </c>
      <c r="C8" s="70" t="s">
        <v>136</v>
      </c>
      <c r="D8" s="70" t="s">
        <v>137</v>
      </c>
      <c r="E8" s="70" t="s">
        <v>138</v>
      </c>
      <c r="F8" s="84" t="s">
        <v>132</v>
      </c>
      <c r="G8" s="85"/>
      <c r="H8" s="79"/>
      <c r="I8" s="79"/>
      <c r="J8" s="79"/>
      <c r="K8" s="79"/>
      <c r="L8" s="79"/>
      <c r="M8" s="79"/>
      <c r="N8" s="79"/>
      <c r="O8" s="79"/>
      <c r="P8" s="79"/>
      <c r="Q8" s="79"/>
      <c r="R8" s="79"/>
      <c r="S8" s="79"/>
      <c r="T8" s="79"/>
      <c r="U8" s="79"/>
      <c r="V8" s="79"/>
      <c r="W8" s="79"/>
      <c r="X8" s="79"/>
      <c r="Y8" s="79"/>
      <c r="Z8" s="79"/>
    </row>
    <row r="9" ht="24.0" customHeight="1">
      <c r="A9" s="79"/>
      <c r="B9" s="83">
        <v>45810.0</v>
      </c>
      <c r="C9" s="70" t="s">
        <v>139</v>
      </c>
      <c r="D9" s="70" t="s">
        <v>140</v>
      </c>
      <c r="E9" s="70" t="s">
        <v>141</v>
      </c>
      <c r="F9" s="84" t="s">
        <v>132</v>
      </c>
      <c r="G9" s="85"/>
      <c r="H9" s="79"/>
      <c r="I9" s="79"/>
      <c r="J9" s="79"/>
      <c r="K9" s="79"/>
      <c r="L9" s="79"/>
      <c r="M9" s="79"/>
      <c r="N9" s="79"/>
      <c r="O9" s="79"/>
      <c r="P9" s="79"/>
      <c r="Q9" s="79"/>
      <c r="R9" s="79"/>
      <c r="S9" s="79"/>
      <c r="T9" s="79"/>
      <c r="U9" s="79"/>
      <c r="V9" s="79"/>
      <c r="W9" s="79"/>
      <c r="X9" s="79"/>
      <c r="Y9" s="79"/>
      <c r="Z9" s="79"/>
    </row>
    <row r="10" ht="24.0" customHeight="1">
      <c r="A10" s="79"/>
      <c r="B10" s="79"/>
      <c r="C10" s="79"/>
      <c r="D10" s="79"/>
      <c r="E10" s="79"/>
      <c r="F10" s="79"/>
      <c r="G10" s="79"/>
      <c r="H10" s="79"/>
      <c r="I10" s="79"/>
      <c r="J10" s="79"/>
      <c r="K10" s="79"/>
      <c r="L10" s="79"/>
      <c r="M10" s="79"/>
      <c r="N10" s="79"/>
      <c r="O10" s="79"/>
      <c r="P10" s="79"/>
      <c r="Q10" s="79"/>
      <c r="R10" s="79"/>
      <c r="S10" s="79"/>
      <c r="T10" s="79"/>
      <c r="U10" s="79"/>
      <c r="V10" s="79"/>
      <c r="W10" s="79"/>
      <c r="X10" s="79"/>
      <c r="Y10" s="79"/>
      <c r="Z10" s="79"/>
    </row>
    <row r="11" ht="24.0" customHeight="1">
      <c r="A11" s="79"/>
      <c r="B11" s="81" t="s">
        <v>142</v>
      </c>
      <c r="C11" s="25"/>
      <c r="D11" s="25"/>
      <c r="E11" s="25"/>
      <c r="F11" s="25"/>
      <c r="G11" s="26"/>
      <c r="H11" s="79"/>
      <c r="I11" s="79"/>
      <c r="J11" s="79"/>
      <c r="K11" s="79"/>
      <c r="L11" s="79"/>
      <c r="M11" s="79"/>
      <c r="N11" s="79"/>
      <c r="O11" s="79"/>
      <c r="P11" s="79"/>
      <c r="Q11" s="79"/>
      <c r="R11" s="79"/>
      <c r="S11" s="79"/>
      <c r="T11" s="79"/>
      <c r="U11" s="79"/>
      <c r="V11" s="79"/>
      <c r="W11" s="79"/>
      <c r="X11" s="79"/>
      <c r="Y11" s="79"/>
      <c r="Z11" s="79"/>
    </row>
    <row r="12" ht="24.0" customHeight="1">
      <c r="A12" s="79"/>
      <c r="B12" s="82" t="s">
        <v>123</v>
      </c>
      <c r="C12" s="82" t="s">
        <v>124</v>
      </c>
      <c r="D12" s="82" t="s">
        <v>125</v>
      </c>
      <c r="E12" s="82" t="s">
        <v>126</v>
      </c>
      <c r="F12" s="82" t="s">
        <v>127</v>
      </c>
      <c r="G12" s="82" t="s">
        <v>128</v>
      </c>
      <c r="H12" s="79"/>
      <c r="I12" s="79"/>
      <c r="J12" s="79"/>
      <c r="K12" s="79"/>
      <c r="L12" s="79"/>
      <c r="M12" s="79"/>
      <c r="N12" s="79"/>
      <c r="O12" s="79"/>
      <c r="P12" s="79"/>
      <c r="Q12" s="79"/>
      <c r="R12" s="79"/>
      <c r="S12" s="79"/>
      <c r="T12" s="79"/>
      <c r="U12" s="79"/>
      <c r="V12" s="79"/>
      <c r="W12" s="79"/>
      <c r="X12" s="79"/>
      <c r="Y12" s="79"/>
      <c r="Z12" s="79"/>
    </row>
    <row r="13" ht="24.0" customHeight="1">
      <c r="A13" s="79"/>
      <c r="B13" s="86">
        <v>45811.0</v>
      </c>
      <c r="C13" s="87" t="s">
        <v>143</v>
      </c>
      <c r="D13" s="87" t="s">
        <v>144</v>
      </c>
      <c r="E13" s="87" t="s">
        <v>145</v>
      </c>
      <c r="F13" s="87" t="s">
        <v>132</v>
      </c>
      <c r="G13" s="85"/>
      <c r="H13" s="79"/>
      <c r="I13" s="79"/>
      <c r="J13" s="79"/>
      <c r="K13" s="79"/>
      <c r="L13" s="79"/>
      <c r="M13" s="79"/>
      <c r="N13" s="79"/>
      <c r="O13" s="79"/>
      <c r="P13" s="79"/>
      <c r="Q13" s="79"/>
      <c r="R13" s="79"/>
      <c r="S13" s="79"/>
      <c r="T13" s="79"/>
      <c r="U13" s="79"/>
      <c r="V13" s="79"/>
      <c r="W13" s="79"/>
      <c r="X13" s="79"/>
      <c r="Y13" s="79"/>
      <c r="Z13" s="79"/>
    </row>
    <row r="14" ht="24.0" customHeight="1">
      <c r="A14" s="79"/>
      <c r="B14" s="86">
        <v>45811.0</v>
      </c>
      <c r="C14" s="87" t="s">
        <v>146</v>
      </c>
      <c r="D14" s="87" t="s">
        <v>147</v>
      </c>
      <c r="E14" s="87" t="s">
        <v>148</v>
      </c>
      <c r="F14" s="87" t="s">
        <v>132</v>
      </c>
      <c r="G14" s="85"/>
      <c r="H14" s="79"/>
      <c r="I14" s="79"/>
      <c r="J14" s="79"/>
      <c r="K14" s="79"/>
      <c r="L14" s="79"/>
      <c r="M14" s="79"/>
      <c r="N14" s="79"/>
      <c r="O14" s="79"/>
      <c r="P14" s="79"/>
      <c r="Q14" s="79"/>
      <c r="R14" s="79"/>
      <c r="S14" s="79"/>
      <c r="T14" s="79"/>
      <c r="U14" s="79"/>
      <c r="V14" s="79"/>
      <c r="W14" s="79"/>
      <c r="X14" s="79"/>
      <c r="Y14" s="79"/>
      <c r="Z14" s="79"/>
    </row>
    <row r="15" ht="24.0" customHeight="1">
      <c r="A15" s="79"/>
      <c r="B15" s="86">
        <v>45812.0</v>
      </c>
      <c r="C15" s="87" t="s">
        <v>149</v>
      </c>
      <c r="D15" s="87" t="s">
        <v>150</v>
      </c>
      <c r="E15" s="87" t="s">
        <v>151</v>
      </c>
      <c r="F15" s="87" t="s">
        <v>132</v>
      </c>
      <c r="G15" s="85"/>
      <c r="H15" s="79"/>
      <c r="I15" s="79"/>
      <c r="J15" s="79"/>
      <c r="K15" s="79"/>
      <c r="L15" s="79"/>
      <c r="M15" s="79"/>
      <c r="N15" s="79"/>
      <c r="O15" s="79"/>
      <c r="P15" s="79"/>
      <c r="Q15" s="79"/>
      <c r="R15" s="79"/>
      <c r="S15" s="79"/>
      <c r="T15" s="79"/>
      <c r="U15" s="79"/>
      <c r="V15" s="79"/>
      <c r="W15" s="79"/>
      <c r="X15" s="79"/>
      <c r="Y15" s="79"/>
      <c r="Z15" s="79"/>
    </row>
    <row r="16" ht="24.0" customHeight="1">
      <c r="A16" s="79"/>
      <c r="B16" s="86">
        <v>45812.0</v>
      </c>
      <c r="C16" s="87" t="s">
        <v>152</v>
      </c>
      <c r="D16" s="87" t="s">
        <v>153</v>
      </c>
      <c r="E16" s="87" t="s">
        <v>154</v>
      </c>
      <c r="F16" s="87" t="s">
        <v>132</v>
      </c>
      <c r="G16" s="85"/>
      <c r="H16" s="79"/>
      <c r="I16" s="79"/>
      <c r="J16" s="79"/>
      <c r="K16" s="79"/>
      <c r="L16" s="79"/>
      <c r="M16" s="79"/>
      <c r="N16" s="79"/>
      <c r="O16" s="79"/>
      <c r="P16" s="79"/>
      <c r="Q16" s="79"/>
      <c r="R16" s="79"/>
      <c r="S16" s="79"/>
      <c r="T16" s="79"/>
      <c r="U16" s="79"/>
      <c r="V16" s="79"/>
      <c r="W16" s="79"/>
      <c r="X16" s="79"/>
      <c r="Y16" s="79"/>
      <c r="Z16" s="79"/>
    </row>
    <row r="17" ht="24.0" customHeight="1">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ht="24.0" customHeight="1">
      <c r="A18" s="79"/>
      <c r="B18" s="81" t="s">
        <v>155</v>
      </c>
      <c r="C18" s="25"/>
      <c r="D18" s="25"/>
      <c r="E18" s="25"/>
      <c r="F18" s="25"/>
      <c r="G18" s="26"/>
      <c r="H18" s="79"/>
      <c r="I18" s="79"/>
      <c r="J18" s="79"/>
      <c r="K18" s="79"/>
      <c r="L18" s="79"/>
      <c r="M18" s="79"/>
      <c r="N18" s="79"/>
      <c r="O18" s="79"/>
      <c r="P18" s="79"/>
      <c r="Q18" s="79"/>
      <c r="R18" s="79"/>
      <c r="S18" s="79"/>
      <c r="T18" s="79"/>
      <c r="U18" s="79"/>
      <c r="V18" s="79"/>
      <c r="W18" s="79"/>
      <c r="X18" s="79"/>
      <c r="Y18" s="79"/>
      <c r="Z18" s="79"/>
    </row>
    <row r="19" ht="24.0" customHeight="1">
      <c r="A19" s="79"/>
      <c r="B19" s="82" t="s">
        <v>123</v>
      </c>
      <c r="C19" s="82" t="s">
        <v>124</v>
      </c>
      <c r="D19" s="82" t="s">
        <v>125</v>
      </c>
      <c r="E19" s="82" t="s">
        <v>126</v>
      </c>
      <c r="F19" s="82" t="s">
        <v>127</v>
      </c>
      <c r="G19" s="88"/>
      <c r="H19" s="79"/>
      <c r="I19" s="79"/>
      <c r="J19" s="79"/>
      <c r="K19" s="79"/>
      <c r="L19" s="79"/>
      <c r="M19" s="79"/>
      <c r="N19" s="79"/>
      <c r="O19" s="79"/>
      <c r="P19" s="79"/>
      <c r="Q19" s="79"/>
      <c r="R19" s="79"/>
      <c r="S19" s="79"/>
      <c r="T19" s="79"/>
      <c r="U19" s="79"/>
      <c r="V19" s="79"/>
      <c r="W19" s="79"/>
      <c r="X19" s="79"/>
      <c r="Y19" s="79"/>
      <c r="Z19" s="79"/>
    </row>
    <row r="20" ht="24.0" customHeight="1">
      <c r="A20" s="79"/>
      <c r="B20" s="86">
        <v>45817.0</v>
      </c>
      <c r="C20" s="87" t="s">
        <v>156</v>
      </c>
      <c r="D20" s="87" t="s">
        <v>157</v>
      </c>
      <c r="E20" s="87" t="s">
        <v>158</v>
      </c>
      <c r="F20" s="87" t="s">
        <v>132</v>
      </c>
      <c r="G20" s="85"/>
      <c r="H20" s="79"/>
      <c r="I20" s="79"/>
      <c r="J20" s="79"/>
      <c r="K20" s="79"/>
      <c r="L20" s="79"/>
      <c r="M20" s="79"/>
      <c r="N20" s="79"/>
      <c r="O20" s="79"/>
      <c r="P20" s="79"/>
      <c r="Q20" s="79"/>
      <c r="R20" s="79"/>
      <c r="S20" s="79"/>
      <c r="T20" s="79"/>
      <c r="U20" s="79"/>
      <c r="V20" s="79"/>
      <c r="W20" s="79"/>
      <c r="X20" s="79"/>
      <c r="Y20" s="79"/>
      <c r="Z20" s="79"/>
    </row>
    <row r="21" ht="24.0" customHeight="1">
      <c r="A21" s="79"/>
      <c r="B21" s="86">
        <v>45817.0</v>
      </c>
      <c r="C21" s="87" t="s">
        <v>159</v>
      </c>
      <c r="D21" s="87" t="s">
        <v>160</v>
      </c>
      <c r="E21" s="87" t="s">
        <v>161</v>
      </c>
      <c r="F21" s="87" t="s">
        <v>132</v>
      </c>
      <c r="G21" s="85"/>
      <c r="H21" s="79"/>
      <c r="I21" s="79"/>
      <c r="J21" s="79"/>
      <c r="K21" s="79"/>
      <c r="L21" s="79"/>
      <c r="M21" s="79"/>
      <c r="N21" s="79"/>
      <c r="O21" s="79"/>
      <c r="P21" s="79"/>
      <c r="Q21" s="79"/>
      <c r="R21" s="79"/>
      <c r="S21" s="79"/>
      <c r="T21" s="79"/>
      <c r="U21" s="79"/>
      <c r="V21" s="79"/>
      <c r="W21" s="79"/>
      <c r="X21" s="79"/>
      <c r="Y21" s="79"/>
      <c r="Z21" s="79"/>
    </row>
    <row r="22" ht="24.0" customHeight="1">
      <c r="A22" s="79"/>
      <c r="B22" s="86">
        <v>45818.0</v>
      </c>
      <c r="C22" s="87" t="s">
        <v>162</v>
      </c>
      <c r="D22" s="87" t="s">
        <v>163</v>
      </c>
      <c r="E22" s="87" t="s">
        <v>164</v>
      </c>
      <c r="F22" s="87" t="s">
        <v>132</v>
      </c>
      <c r="G22" s="85"/>
      <c r="H22" s="79"/>
      <c r="I22" s="79"/>
      <c r="J22" s="79"/>
      <c r="K22" s="79"/>
      <c r="L22" s="79"/>
      <c r="M22" s="79"/>
      <c r="N22" s="79"/>
      <c r="O22" s="79"/>
      <c r="P22" s="79"/>
      <c r="Q22" s="79"/>
      <c r="R22" s="79"/>
      <c r="S22" s="79"/>
      <c r="T22" s="79"/>
      <c r="U22" s="79"/>
      <c r="V22" s="79"/>
      <c r="W22" s="79"/>
      <c r="X22" s="79"/>
      <c r="Y22" s="79"/>
      <c r="Z22" s="79"/>
    </row>
    <row r="23" ht="24.0" customHeight="1">
      <c r="A23" s="79"/>
      <c r="B23" s="86">
        <v>45818.0</v>
      </c>
      <c r="C23" s="87" t="s">
        <v>165</v>
      </c>
      <c r="D23" s="87" t="s">
        <v>166</v>
      </c>
      <c r="E23" s="87" t="s">
        <v>167</v>
      </c>
      <c r="F23" s="87" t="s">
        <v>132</v>
      </c>
      <c r="G23" s="85"/>
      <c r="H23" s="79"/>
      <c r="I23" s="79"/>
      <c r="J23" s="79"/>
      <c r="K23" s="79"/>
      <c r="L23" s="79"/>
      <c r="M23" s="79"/>
      <c r="N23" s="79"/>
      <c r="O23" s="79"/>
      <c r="P23" s="79"/>
      <c r="Q23" s="79"/>
      <c r="R23" s="79"/>
      <c r="S23" s="79"/>
      <c r="T23" s="79"/>
      <c r="U23" s="79"/>
      <c r="V23" s="79"/>
      <c r="W23" s="79"/>
      <c r="X23" s="79"/>
      <c r="Y23" s="79"/>
      <c r="Z23" s="79"/>
    </row>
    <row r="24" ht="24.0" customHeight="1">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ht="24.0" customHeight="1">
      <c r="A25" s="79"/>
      <c r="B25" s="81" t="s">
        <v>168</v>
      </c>
      <c r="C25" s="25"/>
      <c r="D25" s="25"/>
      <c r="E25" s="25"/>
      <c r="F25" s="25"/>
      <c r="G25" s="26"/>
      <c r="H25" s="79"/>
      <c r="I25" s="79"/>
      <c r="J25" s="79"/>
      <c r="K25" s="79"/>
      <c r="L25" s="79"/>
      <c r="M25" s="79"/>
      <c r="N25" s="79"/>
      <c r="O25" s="79"/>
      <c r="P25" s="79"/>
      <c r="Q25" s="79"/>
      <c r="R25" s="79"/>
      <c r="S25" s="79"/>
      <c r="T25" s="79"/>
      <c r="U25" s="79"/>
      <c r="V25" s="79"/>
      <c r="W25" s="79"/>
      <c r="X25" s="79"/>
      <c r="Y25" s="79"/>
      <c r="Z25" s="79"/>
    </row>
    <row r="26" ht="24.0" customHeight="1">
      <c r="A26" s="79"/>
      <c r="B26" s="82" t="s">
        <v>123</v>
      </c>
      <c r="C26" s="82" t="s">
        <v>124</v>
      </c>
      <c r="D26" s="82" t="s">
        <v>125</v>
      </c>
      <c r="E26" s="82" t="s">
        <v>126</v>
      </c>
      <c r="F26" s="82" t="s">
        <v>127</v>
      </c>
      <c r="G26" s="89"/>
      <c r="H26" s="79"/>
      <c r="I26" s="79"/>
      <c r="J26" s="79"/>
      <c r="K26" s="79"/>
      <c r="L26" s="79"/>
      <c r="M26" s="79"/>
      <c r="N26" s="79"/>
      <c r="O26" s="79"/>
      <c r="P26" s="79"/>
      <c r="Q26" s="79"/>
      <c r="R26" s="79"/>
      <c r="S26" s="79"/>
      <c r="T26" s="79"/>
      <c r="U26" s="79"/>
      <c r="V26" s="79"/>
      <c r="W26" s="79"/>
      <c r="X26" s="79"/>
      <c r="Y26" s="79"/>
      <c r="Z26" s="79"/>
    </row>
    <row r="27" ht="24.0" customHeight="1">
      <c r="A27" s="79"/>
      <c r="B27" s="86">
        <v>45819.0</v>
      </c>
      <c r="C27" s="87" t="s">
        <v>169</v>
      </c>
      <c r="D27" s="87" t="s">
        <v>170</v>
      </c>
      <c r="E27" s="87" t="s">
        <v>171</v>
      </c>
      <c r="F27" s="87" t="s">
        <v>132</v>
      </c>
      <c r="G27" s="85"/>
      <c r="H27" s="79"/>
      <c r="I27" s="79"/>
      <c r="J27" s="79"/>
      <c r="K27" s="79"/>
      <c r="L27" s="79"/>
      <c r="M27" s="79"/>
      <c r="N27" s="79"/>
      <c r="O27" s="79"/>
      <c r="P27" s="79"/>
      <c r="Q27" s="79"/>
      <c r="R27" s="79"/>
      <c r="S27" s="79"/>
      <c r="T27" s="79"/>
      <c r="U27" s="79"/>
      <c r="V27" s="79"/>
      <c r="W27" s="79"/>
      <c r="X27" s="79"/>
      <c r="Y27" s="79"/>
      <c r="Z27" s="79"/>
    </row>
    <row r="28" ht="24.0" customHeight="1">
      <c r="A28" s="79"/>
      <c r="B28" s="86">
        <v>45819.0</v>
      </c>
      <c r="C28" s="87" t="s">
        <v>172</v>
      </c>
      <c r="D28" s="87" t="s">
        <v>173</v>
      </c>
      <c r="E28" s="87" t="s">
        <v>174</v>
      </c>
      <c r="F28" s="87" t="s">
        <v>132</v>
      </c>
      <c r="G28" s="85"/>
      <c r="H28" s="79"/>
      <c r="I28" s="79"/>
      <c r="J28" s="79"/>
      <c r="K28" s="79"/>
      <c r="L28" s="79"/>
      <c r="M28" s="79"/>
      <c r="N28" s="79"/>
      <c r="O28" s="79"/>
      <c r="P28" s="79"/>
      <c r="Q28" s="79"/>
      <c r="R28" s="79"/>
      <c r="S28" s="79"/>
      <c r="T28" s="79"/>
      <c r="U28" s="79"/>
      <c r="V28" s="79"/>
      <c r="W28" s="79"/>
      <c r="X28" s="79"/>
      <c r="Y28" s="79"/>
      <c r="Z28" s="79"/>
    </row>
    <row r="29" ht="24.0" customHeight="1">
      <c r="A29" s="79"/>
      <c r="B29" s="86">
        <v>45820.0</v>
      </c>
      <c r="C29" s="87" t="s">
        <v>175</v>
      </c>
      <c r="D29" s="87" t="s">
        <v>176</v>
      </c>
      <c r="E29" s="87" t="s">
        <v>177</v>
      </c>
      <c r="F29" s="87" t="s">
        <v>132</v>
      </c>
      <c r="G29" s="85"/>
      <c r="H29" s="79"/>
      <c r="I29" s="79"/>
      <c r="J29" s="79"/>
      <c r="K29" s="79"/>
      <c r="L29" s="79"/>
      <c r="M29" s="79"/>
      <c r="N29" s="79"/>
      <c r="O29" s="79"/>
      <c r="P29" s="79"/>
      <c r="Q29" s="79"/>
      <c r="R29" s="79"/>
      <c r="S29" s="79"/>
      <c r="T29" s="79"/>
      <c r="U29" s="79"/>
      <c r="V29" s="79"/>
      <c r="W29" s="79"/>
      <c r="X29" s="79"/>
      <c r="Y29" s="79"/>
      <c r="Z29" s="79"/>
    </row>
    <row r="30" ht="24.0" customHeight="1">
      <c r="A30" s="79"/>
      <c r="B30" s="86">
        <v>45820.0</v>
      </c>
      <c r="C30" s="87" t="s">
        <v>178</v>
      </c>
      <c r="D30" s="87" t="s">
        <v>179</v>
      </c>
      <c r="E30" s="87" t="s">
        <v>180</v>
      </c>
      <c r="F30" s="87" t="s">
        <v>132</v>
      </c>
      <c r="G30" s="85"/>
      <c r="H30" s="79"/>
      <c r="I30" s="79"/>
      <c r="J30" s="79"/>
      <c r="K30" s="79"/>
      <c r="L30" s="79"/>
      <c r="M30" s="79"/>
      <c r="N30" s="79"/>
      <c r="O30" s="79"/>
      <c r="P30" s="79"/>
      <c r="Q30" s="79"/>
      <c r="R30" s="79"/>
      <c r="S30" s="79"/>
      <c r="T30" s="79"/>
      <c r="U30" s="79"/>
      <c r="V30" s="79"/>
      <c r="W30" s="79"/>
      <c r="X30" s="79"/>
      <c r="Y30" s="79"/>
      <c r="Z30" s="79"/>
    </row>
    <row r="31" ht="24.0" customHeight="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ht="24.0" customHeight="1">
      <c r="A32" s="79"/>
      <c r="B32" s="81" t="s">
        <v>181</v>
      </c>
      <c r="C32" s="25"/>
      <c r="D32" s="25"/>
      <c r="E32" s="25"/>
      <c r="F32" s="25"/>
      <c r="G32" s="26"/>
      <c r="H32" s="79"/>
      <c r="I32" s="79"/>
      <c r="J32" s="79"/>
      <c r="K32" s="79"/>
      <c r="L32" s="79"/>
      <c r="M32" s="79"/>
      <c r="N32" s="79"/>
      <c r="O32" s="79"/>
      <c r="P32" s="79"/>
      <c r="Q32" s="79"/>
      <c r="R32" s="79"/>
      <c r="S32" s="79"/>
      <c r="T32" s="79"/>
      <c r="U32" s="79"/>
      <c r="V32" s="79"/>
      <c r="W32" s="79"/>
      <c r="X32" s="79"/>
      <c r="Y32" s="79"/>
      <c r="Z32" s="79"/>
    </row>
    <row r="33" ht="24.0" customHeight="1">
      <c r="A33" s="79"/>
      <c r="B33" s="82" t="s">
        <v>123</v>
      </c>
      <c r="C33" s="82" t="s">
        <v>124</v>
      </c>
      <c r="D33" s="82" t="s">
        <v>125</v>
      </c>
      <c r="E33" s="82" t="s">
        <v>126</v>
      </c>
      <c r="F33" s="82" t="s">
        <v>127</v>
      </c>
      <c r="G33" s="89"/>
      <c r="H33" s="79"/>
      <c r="I33" s="79"/>
      <c r="J33" s="79"/>
      <c r="K33" s="79"/>
      <c r="L33" s="79"/>
      <c r="M33" s="79"/>
      <c r="N33" s="79"/>
      <c r="O33" s="79"/>
      <c r="P33" s="79"/>
      <c r="Q33" s="79"/>
      <c r="R33" s="79"/>
      <c r="S33" s="79"/>
      <c r="T33" s="79"/>
      <c r="U33" s="79"/>
      <c r="V33" s="79"/>
      <c r="W33" s="79"/>
      <c r="X33" s="79"/>
      <c r="Y33" s="79"/>
      <c r="Z33" s="79"/>
    </row>
    <row r="34" ht="24.0" customHeight="1">
      <c r="A34" s="79"/>
      <c r="B34" s="86">
        <v>45821.0</v>
      </c>
      <c r="C34" s="87" t="s">
        <v>182</v>
      </c>
      <c r="D34" s="87" t="s">
        <v>183</v>
      </c>
      <c r="E34" s="87" t="s">
        <v>184</v>
      </c>
      <c r="F34" s="87" t="s">
        <v>132</v>
      </c>
      <c r="G34" s="85"/>
      <c r="H34" s="79"/>
      <c r="I34" s="79"/>
      <c r="J34" s="79"/>
      <c r="K34" s="79"/>
      <c r="L34" s="79"/>
      <c r="M34" s="79"/>
      <c r="N34" s="79"/>
      <c r="O34" s="79"/>
      <c r="P34" s="79"/>
      <c r="Q34" s="79"/>
      <c r="R34" s="79"/>
      <c r="S34" s="79"/>
      <c r="T34" s="79"/>
      <c r="U34" s="79"/>
      <c r="V34" s="79"/>
      <c r="W34" s="79"/>
      <c r="X34" s="79"/>
      <c r="Y34" s="79"/>
      <c r="Z34" s="79"/>
    </row>
    <row r="35" ht="24.0" customHeight="1">
      <c r="A35" s="79"/>
      <c r="B35" s="86">
        <v>45821.0</v>
      </c>
      <c r="C35" s="87" t="s">
        <v>185</v>
      </c>
      <c r="D35" s="87" t="s">
        <v>186</v>
      </c>
      <c r="E35" s="87" t="s">
        <v>187</v>
      </c>
      <c r="F35" s="87" t="s">
        <v>132</v>
      </c>
      <c r="G35" s="85"/>
      <c r="H35" s="79"/>
      <c r="I35" s="79"/>
      <c r="J35" s="79"/>
      <c r="K35" s="79"/>
      <c r="L35" s="79"/>
      <c r="M35" s="79"/>
      <c r="N35" s="79"/>
      <c r="O35" s="79"/>
      <c r="P35" s="79"/>
      <c r="Q35" s="79"/>
      <c r="R35" s="79"/>
      <c r="S35" s="79"/>
      <c r="T35" s="79"/>
      <c r="U35" s="79"/>
      <c r="V35" s="79"/>
      <c r="W35" s="79"/>
      <c r="X35" s="79"/>
      <c r="Y35" s="79"/>
      <c r="Z35" s="79"/>
    </row>
    <row r="36" ht="24.0" customHeight="1">
      <c r="A36" s="79"/>
      <c r="B36" s="86">
        <v>45824.0</v>
      </c>
      <c r="C36" s="87" t="s">
        <v>188</v>
      </c>
      <c r="D36" s="87" t="s">
        <v>167</v>
      </c>
      <c r="E36" s="87" t="s">
        <v>189</v>
      </c>
      <c r="F36" s="87" t="s">
        <v>132</v>
      </c>
      <c r="G36" s="85"/>
      <c r="H36" s="79"/>
      <c r="I36" s="79"/>
      <c r="J36" s="79"/>
      <c r="K36" s="79"/>
      <c r="L36" s="79"/>
      <c r="M36" s="79"/>
      <c r="N36" s="79"/>
      <c r="O36" s="79"/>
      <c r="P36" s="79"/>
      <c r="Q36" s="79"/>
      <c r="R36" s="79"/>
      <c r="S36" s="79"/>
      <c r="T36" s="79"/>
      <c r="U36" s="79"/>
      <c r="V36" s="79"/>
      <c r="W36" s="79"/>
      <c r="X36" s="79"/>
      <c r="Y36" s="79"/>
      <c r="Z36" s="79"/>
    </row>
    <row r="37" ht="24.0" customHeight="1">
      <c r="A37" s="79"/>
      <c r="B37" s="86">
        <v>45824.0</v>
      </c>
      <c r="C37" s="87" t="s">
        <v>190</v>
      </c>
      <c r="D37" s="87" t="s">
        <v>191</v>
      </c>
      <c r="E37" s="87" t="s">
        <v>192</v>
      </c>
      <c r="F37" s="87" t="s">
        <v>132</v>
      </c>
      <c r="G37" s="85"/>
      <c r="H37" s="79"/>
      <c r="I37" s="79"/>
      <c r="J37" s="79"/>
      <c r="K37" s="79"/>
      <c r="L37" s="79"/>
      <c r="M37" s="79"/>
      <c r="N37" s="79"/>
      <c r="O37" s="79"/>
      <c r="P37" s="79"/>
      <c r="Q37" s="79"/>
      <c r="R37" s="79"/>
      <c r="S37" s="79"/>
      <c r="T37" s="79"/>
      <c r="U37" s="79"/>
      <c r="V37" s="79"/>
      <c r="W37" s="79"/>
      <c r="X37" s="79"/>
      <c r="Y37" s="79"/>
      <c r="Z37" s="79"/>
    </row>
    <row r="38" ht="24.0" customHeight="1">
      <c r="A38" s="79"/>
      <c r="B38" s="86">
        <v>45824.0</v>
      </c>
      <c r="C38" s="87" t="s">
        <v>193</v>
      </c>
      <c r="D38" s="87" t="s">
        <v>194</v>
      </c>
      <c r="E38" s="87" t="s">
        <v>195</v>
      </c>
      <c r="F38" s="87" t="s">
        <v>132</v>
      </c>
      <c r="G38" s="85"/>
      <c r="H38" s="79"/>
      <c r="I38" s="79"/>
      <c r="J38" s="79"/>
      <c r="K38" s="79"/>
      <c r="L38" s="79"/>
      <c r="M38" s="79"/>
      <c r="N38" s="79"/>
      <c r="O38" s="79"/>
      <c r="P38" s="79"/>
      <c r="Q38" s="79"/>
      <c r="R38" s="79"/>
      <c r="S38" s="79"/>
      <c r="T38" s="79"/>
      <c r="U38" s="79"/>
      <c r="V38" s="79"/>
      <c r="W38" s="79"/>
      <c r="X38" s="79"/>
      <c r="Y38" s="79"/>
      <c r="Z38" s="79"/>
    </row>
    <row r="39" ht="24.0" customHeight="1">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ht="24.0" customHeight="1">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ht="24.0" customHeight="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ht="24.0" customHeight="1">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ht="24.0" customHeight="1">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ht="24.0" customHeight="1">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ht="24.0" customHeight="1">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ht="24.0" customHeight="1">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ht="24.0" customHeight="1">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ht="24.0" customHeight="1">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ht="24.0" customHeight="1">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ht="24.0" customHeight="1">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ht="24.0" customHeight="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ht="24.0" customHeight="1">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ht="24.0" customHeight="1">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ht="24.0" customHeight="1">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ht="24.0" customHeight="1">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ht="24.0" customHeight="1">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ht="24.0" customHeight="1">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ht="24.0" customHeight="1">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ht="24.0" customHeight="1">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ht="24.0" customHeight="1">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ht="24.0" customHeight="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ht="24.0" customHeight="1">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ht="24.0" customHeight="1">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ht="24.0" customHeight="1">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ht="24.0" customHeight="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ht="24.0" customHeight="1">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ht="24.0" customHeight="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ht="24.0"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ht="24.0" customHeight="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ht="24.0" customHeight="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ht="24.0" customHeight="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ht="24.0" customHeight="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ht="24.0"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ht="24.0" customHeight="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ht="24.0" customHeight="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ht="24.0" customHeight="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ht="24.0" customHeight="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ht="24.0"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ht="24.0"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ht="24.0"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ht="24.0"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ht="24.0"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ht="24.0"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ht="24.0"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ht="24.0"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ht="24.0"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ht="24.0"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ht="24.0"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ht="24.0"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ht="24.0"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ht="24.0"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ht="24.0"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ht="24.0"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ht="24.0"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ht="24.0"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ht="24.0"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ht="24.0"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ht="24.0"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ht="24.0"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ht="24.0"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ht="24.0"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ht="24.0"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ht="24.0"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ht="24.0"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ht="24.0"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ht="24.0"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ht="24.0"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ht="24.0"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ht="24.0"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ht="24.0"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ht="24.0"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ht="24.0"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ht="24.0"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ht="24.0"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ht="24.0"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ht="24.0"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ht="24.0"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ht="24.0"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ht="24.0"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ht="24.0"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ht="24.0"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ht="24.0"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ht="24.0"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ht="24.0"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ht="24.0"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ht="24.0"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ht="24.0"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ht="24.0"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ht="24.0"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ht="24.0"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ht="24.0"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ht="24.0"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ht="24.0"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ht="24.0"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ht="24.0"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ht="24.0"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ht="24.0"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ht="24.0"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ht="24.0"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ht="24.0"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ht="24.0"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ht="24.0"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ht="24.0"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ht="24.0"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ht="24.0"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ht="24.0"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ht="24.0"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ht="24.0"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ht="24.0"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ht="24.0"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ht="24.0"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ht="24.0"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ht="24.0"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ht="24.0"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ht="24.0"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ht="24.0"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ht="24.0"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ht="24.0"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ht="24.0"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ht="24.0"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ht="24.0"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ht="24.0"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ht="24.0"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ht="24.0"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ht="24.0"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ht="24.0"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ht="24.0"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ht="24.0"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ht="24.0"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ht="24.0"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ht="24.0"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ht="24.0"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ht="24.0"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ht="24.0"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ht="24.0"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ht="24.0"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ht="24.0"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ht="24.0"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ht="24.0"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ht="24.0"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ht="24.0"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ht="24.0"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ht="24.0"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ht="24.0"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ht="24.0"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ht="24.0"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ht="24.0"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ht="24.0"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ht="24.0"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ht="24.0"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ht="24.0"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ht="24.0"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ht="24.0"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ht="24.0"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ht="24.0"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ht="24.0"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ht="24.0"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ht="24.0"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ht="24.0"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ht="24.0"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ht="24.0"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ht="24.0"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ht="24.0"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ht="24.0"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ht="24.0"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ht="24.0"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ht="24.0"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ht="24.0"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ht="24.0"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ht="24.0"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ht="24.0"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ht="24.0"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ht="24.0"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ht="24.0"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ht="24.0"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ht="24.0"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ht="24.0"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ht="24.0"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ht="24.0"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ht="24.0"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ht="24.0"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ht="24.0"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ht="24.0"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ht="24.0"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ht="24.0"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ht="24.0"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ht="24.0"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ht="24.0"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ht="24.0"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ht="24.0"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ht="24.0"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ht="24.0"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ht="24.0"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ht="24.0"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ht="24.0"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ht="24.0"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ht="24.0"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ht="24.0"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ht="24.0"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ht="24.0"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ht="24.0"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ht="24.0"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ht="24.0"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ht="24.0"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ht="24.0"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ht="24.0"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ht="24.0"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ht="24.0"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ht="24.0"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ht="24.0"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ht="24.0"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ht="24.0"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ht="24.0"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ht="24.0"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ht="24.0"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ht="24.0"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ht="24.0"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ht="24.0"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ht="24.0"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ht="24.0"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ht="24.0"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ht="24.0"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ht="24.0"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ht="24.0"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ht="24.0"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ht="24.0"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ht="24.0"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ht="24.0"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ht="24.0"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ht="24.0"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ht="24.0"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ht="24.0"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ht="24.0"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ht="24.0"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ht="24.0"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ht="24.0"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ht="24.0"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ht="24.0"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ht="24.0"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ht="24.0"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ht="24.0"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ht="24.0"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ht="24.0"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ht="24.0"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ht="24.0"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ht="24.0"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ht="24.0"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ht="24.0"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ht="24.0"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ht="24.0"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ht="24.0"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ht="24.0"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ht="24.0"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ht="24.0"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ht="24.0"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ht="24.0"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ht="24.0"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ht="24.0"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ht="24.0"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ht="24.0"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ht="24.0"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ht="24.0"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ht="24.0"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ht="24.0"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ht="24.0"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ht="24.0"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ht="24.0"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ht="24.0"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ht="24.0"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ht="24.0"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ht="24.0"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ht="24.0"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ht="24.0"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ht="24.0"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ht="24.0"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ht="24.0"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ht="24.0"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ht="24.0"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ht="24.0"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ht="24.0"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ht="24.0"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ht="24.0"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ht="24.0"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ht="24.0"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ht="24.0"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ht="24.0"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ht="24.0"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ht="24.0"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ht="24.0"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ht="24.0"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ht="24.0"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ht="24.0"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ht="24.0"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ht="24.0"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ht="24.0"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ht="24.0"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ht="24.0"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ht="24.0"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ht="24.0"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ht="24.0"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ht="24.0"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ht="24.0"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ht="24.0"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ht="24.0"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ht="24.0"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ht="24.0"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ht="24.0"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ht="24.0"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ht="24.0"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ht="24.0"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ht="24.0"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ht="24.0"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ht="24.0"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ht="24.0"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ht="24.0"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ht="24.0"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ht="24.0"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ht="24.0"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ht="24.0"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ht="24.0"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ht="24.0"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ht="24.0"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ht="24.0"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ht="24.0"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ht="24.0"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ht="24.0"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ht="24.0"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ht="24.0"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ht="24.0"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ht="24.0"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ht="24.0"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ht="24.0"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ht="24.0"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ht="24.0"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ht="24.0"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ht="24.0"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ht="24.0"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ht="24.0"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ht="24.0"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ht="24.0"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ht="24.0"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ht="24.0"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ht="24.0"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ht="24.0"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ht="24.0"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ht="24.0"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ht="24.0"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ht="24.0"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ht="24.0"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ht="24.0"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ht="24.0"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ht="24.0"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ht="24.0"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ht="24.0"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ht="24.0"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ht="24.0"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ht="24.0"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ht="24.0"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ht="24.0"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ht="24.0"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ht="24.0"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ht="24.0"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ht="24.0"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ht="24.0"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ht="24.0"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ht="24.0"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ht="24.0"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ht="24.0"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ht="24.0"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ht="24.0"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ht="24.0"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ht="24.0"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ht="24.0"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ht="24.0"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ht="24.0"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ht="24.0"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ht="24.0"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ht="24.0"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ht="24.0"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ht="24.0"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ht="24.0"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ht="24.0"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ht="24.0"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ht="24.0"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ht="24.0"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ht="24.0"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ht="24.0"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ht="24.0"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ht="24.0"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ht="24.0"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ht="24.0"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ht="24.0"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ht="24.0"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ht="24.0"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ht="24.0"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ht="24.0"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ht="24.0"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ht="24.0"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ht="24.0"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ht="24.0"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ht="24.0"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ht="24.0"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ht="24.0"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ht="24.0"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ht="24.0"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ht="24.0"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ht="24.0"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ht="24.0"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ht="24.0"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ht="24.0"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ht="24.0"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ht="24.0"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ht="24.0"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ht="24.0"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ht="24.0"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ht="24.0"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ht="24.0"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ht="24.0"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ht="24.0"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ht="24.0"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ht="24.0"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ht="24.0"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ht="24.0"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ht="24.0"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ht="24.0"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ht="24.0"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ht="24.0"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ht="24.0"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ht="24.0"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ht="24.0"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ht="24.0"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ht="24.0"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ht="24.0"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ht="24.0"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ht="24.0"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ht="24.0"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ht="24.0"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ht="24.0"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ht="24.0"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ht="24.0"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ht="24.0"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ht="24.0"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ht="24.0"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ht="24.0"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ht="24.0"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ht="24.0"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ht="24.0"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ht="24.0"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ht="24.0"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ht="24.0"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ht="24.0"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ht="24.0"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ht="24.0"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ht="24.0"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ht="24.0"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ht="24.0"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ht="24.0"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ht="24.0"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ht="24.0"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ht="24.0"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ht="24.0"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ht="24.0"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ht="24.0"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ht="24.0"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ht="24.0"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ht="24.0"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ht="24.0"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ht="24.0"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ht="24.0"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ht="24.0"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ht="24.0"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ht="24.0"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ht="24.0"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ht="24.0"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ht="24.0"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ht="24.0"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ht="24.0"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ht="24.0"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ht="24.0"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ht="24.0"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ht="24.0"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ht="24.0"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ht="24.0"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ht="24.0"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ht="24.0"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ht="24.0"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ht="24.0"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ht="24.0"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ht="24.0"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ht="24.0"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ht="24.0"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ht="24.0"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ht="24.0"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ht="24.0"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ht="24.0"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ht="24.0"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ht="24.0"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ht="24.0"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ht="24.0"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ht="24.0"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ht="24.0"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ht="24.0"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ht="24.0"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ht="24.0"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ht="24.0"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ht="24.0"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ht="24.0"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ht="24.0"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ht="24.0"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ht="24.0"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ht="24.0"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ht="24.0"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ht="24.0"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ht="24.0"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ht="24.0"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ht="24.0"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ht="24.0"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ht="24.0"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ht="24.0"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ht="24.0"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ht="24.0"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ht="24.0"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ht="24.0"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ht="24.0"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ht="24.0"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ht="24.0"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ht="24.0"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ht="24.0"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ht="24.0"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ht="24.0"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ht="24.0"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ht="24.0"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ht="24.0"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ht="24.0"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ht="24.0"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ht="24.0"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ht="24.0"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ht="24.0"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ht="24.0"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ht="24.0"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ht="24.0"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ht="24.0"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ht="24.0"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ht="24.0"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ht="24.0"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ht="24.0"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ht="24.0"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ht="24.0"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ht="24.0"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ht="24.0"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ht="24.0"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ht="24.0"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ht="24.0"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ht="24.0"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ht="24.0"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ht="24.0"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ht="24.0"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ht="24.0"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ht="24.0"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ht="24.0"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ht="24.0"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ht="24.0"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ht="24.0"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ht="24.0"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ht="24.0"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ht="24.0"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ht="24.0"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ht="24.0"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ht="24.0"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ht="24.0"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ht="24.0"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ht="24.0"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ht="24.0"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ht="24.0"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ht="24.0"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ht="24.0"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ht="24.0"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ht="24.0"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ht="24.0"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ht="24.0"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ht="24.0"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ht="24.0"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ht="24.0"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ht="24.0"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ht="24.0"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ht="24.0"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ht="24.0"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ht="24.0"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ht="24.0"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ht="24.0"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ht="24.0"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ht="24.0"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ht="24.0"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ht="24.0"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ht="24.0"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ht="24.0"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ht="24.0"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ht="24.0"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ht="24.0"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ht="24.0"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ht="24.0"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ht="24.0"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ht="24.0"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ht="24.0"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ht="24.0"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ht="24.0"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ht="24.0"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ht="24.0"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ht="24.0"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ht="24.0"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ht="24.0"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ht="24.0"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ht="24.0"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ht="24.0"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ht="24.0"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ht="24.0"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ht="24.0"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ht="24.0"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ht="24.0"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ht="24.0"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ht="24.0"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ht="24.0"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ht="24.0"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ht="24.0"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ht="24.0"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ht="24.0"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ht="24.0"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ht="24.0"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ht="24.0"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ht="24.0"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ht="24.0"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ht="24.0"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ht="24.0"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ht="24.0"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ht="24.0"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ht="24.0"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ht="24.0"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ht="24.0"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ht="24.0"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ht="24.0"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ht="24.0"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ht="24.0"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ht="24.0"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ht="24.0"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ht="24.0"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ht="24.0"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ht="24.0"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ht="24.0"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ht="24.0"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ht="24.0"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ht="24.0"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ht="24.0"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ht="24.0"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ht="24.0"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ht="24.0"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ht="24.0"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ht="24.0"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ht="24.0"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ht="24.0"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ht="24.0"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ht="24.0"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ht="24.0"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ht="24.0"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ht="24.0"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ht="24.0"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ht="24.0"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ht="24.0"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ht="24.0"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ht="24.0"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ht="24.0"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ht="24.0"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ht="24.0"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ht="24.0"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ht="24.0"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ht="24.0"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ht="24.0"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ht="24.0"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ht="24.0"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ht="24.0"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ht="24.0"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ht="24.0"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ht="24.0"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ht="24.0"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ht="24.0"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ht="24.0"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ht="24.0"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ht="24.0"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ht="24.0"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ht="24.0"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ht="24.0"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ht="24.0"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ht="24.0"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ht="24.0"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ht="24.0"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ht="24.0"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ht="24.0"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ht="24.0"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ht="24.0"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ht="24.0"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ht="24.0"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ht="24.0"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ht="24.0"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ht="24.0"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ht="24.0"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ht="24.0"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ht="24.0"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ht="24.0"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ht="24.0"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ht="24.0"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ht="24.0"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ht="24.0"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ht="24.0"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ht="24.0"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ht="24.0"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ht="24.0"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ht="24.0"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ht="24.0"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ht="24.0"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ht="24.0"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ht="24.0"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ht="24.0"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ht="24.0"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ht="24.0"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ht="24.0"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ht="24.0"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ht="24.0"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ht="24.0"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ht="24.0"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ht="24.0"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ht="24.0"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ht="24.0"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ht="24.0"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ht="24.0"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ht="24.0"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ht="24.0"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ht="24.0"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ht="24.0"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ht="24.0"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ht="24.0"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ht="24.0"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ht="24.0"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ht="24.0"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ht="24.0"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ht="24.0"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ht="24.0"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ht="24.0"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ht="24.0"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ht="24.0"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ht="24.0"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ht="24.0"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ht="24.0"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ht="24.0"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ht="24.0"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ht="24.0"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ht="24.0"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ht="24.0"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ht="24.0"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ht="24.0"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ht="24.0"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ht="24.0"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ht="24.0"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ht="24.0"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ht="24.0"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ht="24.0"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ht="24.0"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ht="24.0"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ht="24.0"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ht="24.0"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ht="24.0"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ht="24.0"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ht="24.0"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ht="24.0"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ht="24.0"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ht="24.0"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ht="24.0"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ht="24.0"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ht="24.0"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ht="24.0"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ht="24.0"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ht="24.0"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ht="24.0"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ht="24.0"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ht="24.0"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ht="24.0"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ht="24.0"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ht="24.0"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ht="24.0"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ht="24.0"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ht="24.0"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ht="24.0"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ht="24.0"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ht="24.0"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ht="24.0"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ht="24.0"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ht="24.0"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ht="24.0"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ht="24.0"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ht="24.0"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ht="24.0"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ht="24.0"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ht="24.0"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ht="24.0"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ht="24.0"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ht="24.0"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ht="24.0"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ht="24.0"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ht="24.0"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ht="24.0"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ht="24.0"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ht="24.0"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ht="24.0"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ht="24.0"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ht="24.0"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ht="24.0"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ht="24.0"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ht="24.0"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ht="24.0"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ht="24.0"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ht="24.0"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ht="24.0"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ht="24.0"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ht="24.0"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ht="24.0"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ht="24.0"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ht="24.0"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ht="24.0"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ht="24.0"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ht="24.0"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ht="24.0"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ht="24.0"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ht="24.0"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ht="24.0"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ht="24.0"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ht="24.0"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ht="24.0"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ht="24.0"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ht="24.0"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ht="24.0"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ht="24.0"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ht="24.0"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ht="24.0"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ht="24.0"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ht="24.0"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ht="24.0"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ht="24.0"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ht="24.0"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ht="24.0"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ht="24.0"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ht="24.0"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ht="24.0"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ht="24.0"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ht="24.0"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ht="24.0"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ht="24.0"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ht="24.0"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ht="24.0"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ht="24.0"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ht="24.0"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ht="24.0"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ht="24.0"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ht="24.0"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ht="24.0"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ht="24.0"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ht="24.0"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ht="24.0"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ht="24.0"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ht="24.0"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ht="24.0"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ht="24.0"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ht="24.0"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ht="24.0"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ht="24.0"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ht="24.0"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ht="24.0"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ht="24.0"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ht="24.0"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ht="24.0"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ht="24.0"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ht="24.0"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ht="24.0"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ht="24.0"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ht="24.0"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ht="24.0"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ht="24.0"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ht="24.0"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ht="24.0"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ht="24.0"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ht="24.0"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ht="24.0"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ht="24.0"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ht="24.0"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ht="24.0"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ht="24.0"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ht="24.0"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ht="24.0"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ht="24.0"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ht="24.0"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ht="24.0"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ht="24.0"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ht="24.0"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ht="24.0"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ht="24.0"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ht="24.0"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ht="24.0"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ht="24.0"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ht="24.0"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ht="24.0"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ht="24.0"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ht="24.0"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ht="24.0"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ht="24.0"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ht="24.0"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ht="24.0"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ht="24.0"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ht="24.0"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ht="24.0"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ht="24.0"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ht="24.0"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ht="24.0"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ht="24.0"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ht="24.0"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ht="24.0"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ht="24.0"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ht="24.0"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ht="24.0"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ht="24.0"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ht="24.0"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ht="24.0"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ht="24.0"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ht="24.0"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ht="24.0"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ht="24.0"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ht="24.0"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ht="24.0"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ht="24.0"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ht="24.0"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ht="24.0"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ht="24.0"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ht="24.0"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ht="24.0"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ht="24.0"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ht="24.0"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ht="24.0"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ht="24.0"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ht="24.0"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ht="24.0"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ht="24.0"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ht="24.0"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ht="24.0"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ht="24.0"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ht="24.0"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ht="24.0"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ht="24.0"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ht="24.0"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ht="24.0"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ht="24.0"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ht="24.0"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ht="24.0"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ht="24.0"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ht="24.0"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mergeCells count="6">
    <mergeCell ref="B2:G2"/>
    <mergeCell ref="B4:G4"/>
    <mergeCell ref="B11:G11"/>
    <mergeCell ref="B18:G18"/>
    <mergeCell ref="B25:G25"/>
    <mergeCell ref="B32:G3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0"/>
    <col customWidth="1" min="2" max="2" width="10.67"/>
    <col customWidth="1" min="3" max="3" width="23.22"/>
    <col customWidth="1" min="4" max="4" width="52.44"/>
    <col customWidth="1" hidden="1" min="5" max="5" width="17.44"/>
    <col customWidth="1" hidden="1" min="6" max="6" width="52.56"/>
    <col customWidth="1" hidden="1" min="7" max="7" width="35.67"/>
    <col customWidth="1" min="8" max="8" width="35.67"/>
    <col customWidth="1" min="9" max="9" width="56.11"/>
    <col customWidth="1" hidden="1" min="10" max="10" width="12.44"/>
    <col customWidth="1" min="11" max="11" width="59.44"/>
    <col customWidth="1" min="12" max="12" width="17.67"/>
    <col customWidth="1" min="13" max="13" width="14.67"/>
    <col customWidth="1" min="14" max="20" width="8.78"/>
    <col customWidth="1" min="21" max="26" width="8.56"/>
  </cols>
  <sheetData>
    <row r="1" ht="24.0" customHeight="1">
      <c r="B1" s="90"/>
      <c r="C1" s="90"/>
      <c r="D1" s="90"/>
      <c r="E1" s="90"/>
      <c r="F1" s="90"/>
      <c r="G1" s="90"/>
      <c r="H1" s="90"/>
      <c r="I1" s="90"/>
      <c r="J1" s="90"/>
      <c r="K1" s="90"/>
      <c r="L1" s="90"/>
      <c r="M1" s="91"/>
      <c r="N1" s="91"/>
      <c r="O1" s="91"/>
      <c r="P1" s="91"/>
      <c r="Q1" s="91"/>
      <c r="R1" s="91"/>
      <c r="S1" s="91"/>
      <c r="T1" s="91"/>
      <c r="U1" s="91"/>
      <c r="V1" s="91"/>
      <c r="W1" s="91"/>
      <c r="X1" s="91"/>
      <c r="Y1" s="91"/>
      <c r="Z1" s="91"/>
    </row>
    <row r="2" ht="72.0" customHeight="1">
      <c r="B2" s="92" t="s">
        <v>196</v>
      </c>
      <c r="C2" s="8"/>
      <c r="D2" s="8"/>
      <c r="E2" s="8"/>
      <c r="F2" s="8"/>
      <c r="G2" s="8"/>
      <c r="H2" s="8"/>
      <c r="I2" s="8"/>
      <c r="J2" s="8"/>
      <c r="K2" s="8"/>
      <c r="L2" s="8"/>
      <c r="M2" s="80"/>
      <c r="N2" s="80"/>
      <c r="O2" s="80"/>
      <c r="P2" s="80"/>
      <c r="Q2" s="80"/>
      <c r="R2" s="80"/>
      <c r="S2" s="80"/>
      <c r="T2" s="80"/>
      <c r="U2" s="91"/>
      <c r="V2" s="91"/>
      <c r="W2" s="91"/>
      <c r="X2" s="91"/>
      <c r="Y2" s="91"/>
      <c r="Z2" s="91"/>
    </row>
    <row r="3" ht="72.0" customHeight="1">
      <c r="B3" s="55"/>
      <c r="C3" s="55"/>
      <c r="D3" s="55"/>
      <c r="E3" s="55"/>
      <c r="F3" s="55"/>
      <c r="G3" s="55"/>
      <c r="H3" s="55"/>
      <c r="I3" s="55"/>
      <c r="J3" s="55"/>
      <c r="K3" s="55"/>
      <c r="L3" s="55"/>
      <c r="M3" s="55"/>
      <c r="N3" s="55"/>
      <c r="O3" s="55"/>
      <c r="P3" s="55"/>
      <c r="Q3" s="55"/>
      <c r="R3" s="55"/>
      <c r="S3" s="55"/>
      <c r="T3" s="55"/>
      <c r="U3" s="55"/>
      <c r="V3" s="55"/>
      <c r="W3" s="55"/>
      <c r="X3" s="55"/>
      <c r="Y3" s="55"/>
      <c r="Z3" s="55"/>
    </row>
    <row r="4" ht="72.0" customHeight="1">
      <c r="B4" s="93" t="s">
        <v>197</v>
      </c>
      <c r="C4" s="26"/>
      <c r="D4" s="62" t="s">
        <v>198</v>
      </c>
      <c r="E4" s="55"/>
      <c r="F4" s="55"/>
      <c r="G4" s="55"/>
      <c r="H4" s="55"/>
      <c r="I4" s="55"/>
      <c r="J4" s="55"/>
      <c r="K4" s="55"/>
      <c r="L4" s="55"/>
      <c r="M4" s="55"/>
      <c r="N4" s="55"/>
      <c r="O4" s="55"/>
      <c r="P4" s="55"/>
      <c r="Q4" s="55"/>
      <c r="R4" s="55"/>
      <c r="S4" s="55"/>
      <c r="T4" s="55"/>
      <c r="U4" s="55"/>
      <c r="V4" s="55"/>
      <c r="W4" s="55"/>
      <c r="X4" s="55"/>
      <c r="Y4" s="55"/>
      <c r="Z4" s="55"/>
    </row>
    <row r="5" ht="72.0" customHeight="1">
      <c r="B5" s="55"/>
      <c r="C5" s="55"/>
      <c r="D5" s="55"/>
      <c r="E5" s="55"/>
      <c r="F5" s="55"/>
      <c r="G5" s="55"/>
      <c r="H5" s="55"/>
      <c r="I5" s="55"/>
      <c r="J5" s="55"/>
      <c r="K5" s="55"/>
      <c r="L5" s="55"/>
      <c r="M5" s="55"/>
      <c r="N5" s="55"/>
      <c r="O5" s="55"/>
      <c r="P5" s="55"/>
      <c r="Q5" s="55"/>
      <c r="R5" s="55"/>
      <c r="S5" s="55"/>
      <c r="T5" s="55"/>
      <c r="U5" s="55"/>
      <c r="V5" s="55"/>
      <c r="W5" s="55"/>
      <c r="X5" s="55"/>
      <c r="Y5" s="55"/>
      <c r="Z5" s="55"/>
    </row>
    <row r="6" ht="72.0" customHeight="1">
      <c r="A6" s="94" t="s">
        <v>199</v>
      </c>
      <c r="B6" s="94" t="s">
        <v>200</v>
      </c>
      <c r="C6" s="94" t="s">
        <v>201</v>
      </c>
      <c r="D6" s="94" t="s">
        <v>202</v>
      </c>
      <c r="E6" s="94" t="s">
        <v>128</v>
      </c>
      <c r="F6" s="94" t="s">
        <v>203</v>
      </c>
      <c r="G6" s="94" t="s">
        <v>204</v>
      </c>
      <c r="H6" s="95" t="s">
        <v>205</v>
      </c>
      <c r="I6" s="95" t="s">
        <v>206</v>
      </c>
      <c r="J6" s="94" t="s">
        <v>207</v>
      </c>
      <c r="K6" s="95" t="s">
        <v>208</v>
      </c>
      <c r="L6" s="94" t="s">
        <v>127</v>
      </c>
      <c r="M6" s="55"/>
      <c r="N6" s="55"/>
      <c r="O6" s="55"/>
      <c r="P6" s="55"/>
      <c r="Q6" s="55"/>
      <c r="R6" s="55"/>
      <c r="S6" s="55"/>
      <c r="T6" s="55"/>
      <c r="U6" s="55"/>
      <c r="V6" s="55"/>
      <c r="W6" s="55"/>
      <c r="X6" s="55"/>
      <c r="Y6" s="55"/>
      <c r="Z6" s="55"/>
    </row>
    <row r="7" ht="72.0" customHeight="1">
      <c r="A7" s="96"/>
      <c r="B7" s="97" t="s">
        <v>76</v>
      </c>
      <c r="C7" s="25"/>
      <c r="D7" s="25"/>
      <c r="E7" s="25"/>
      <c r="F7" s="25"/>
      <c r="G7" s="25"/>
      <c r="H7" s="25"/>
      <c r="I7" s="25"/>
      <c r="J7" s="25"/>
      <c r="K7" s="26"/>
      <c r="L7" s="98"/>
      <c r="M7" s="55"/>
      <c r="N7" s="55"/>
      <c r="O7" s="55"/>
      <c r="P7" s="55"/>
      <c r="Q7" s="55"/>
      <c r="R7" s="55"/>
      <c r="S7" s="55"/>
      <c r="T7" s="55"/>
      <c r="U7" s="55"/>
      <c r="V7" s="55"/>
      <c r="W7" s="55"/>
      <c r="X7" s="55"/>
      <c r="Y7" s="55"/>
      <c r="Z7" s="55"/>
    </row>
    <row r="8" ht="72.0" customHeight="1">
      <c r="A8" s="96"/>
      <c r="B8" s="99" t="s">
        <v>209</v>
      </c>
      <c r="C8" s="25"/>
      <c r="D8" s="25"/>
      <c r="E8" s="25"/>
      <c r="F8" s="25"/>
      <c r="G8" s="25"/>
      <c r="H8" s="25"/>
      <c r="I8" s="25"/>
      <c r="J8" s="25"/>
      <c r="K8" s="26"/>
      <c r="L8" s="100"/>
      <c r="M8" s="55"/>
      <c r="N8" s="55"/>
      <c r="O8" s="55"/>
      <c r="P8" s="55"/>
      <c r="Q8" s="55"/>
      <c r="R8" s="55"/>
      <c r="S8" s="55"/>
      <c r="T8" s="55"/>
      <c r="U8" s="55"/>
      <c r="V8" s="55"/>
      <c r="W8" s="55"/>
      <c r="X8" s="55"/>
      <c r="Y8" s="55"/>
      <c r="Z8" s="55"/>
    </row>
    <row r="9" ht="72.0" customHeight="1">
      <c r="A9" s="96">
        <v>1.0</v>
      </c>
      <c r="B9" s="101" t="s">
        <v>210</v>
      </c>
      <c r="C9" s="101" t="s">
        <v>77</v>
      </c>
      <c r="D9" s="101" t="s">
        <v>211</v>
      </c>
      <c r="E9" s="101"/>
      <c r="F9" s="102" t="s">
        <v>212</v>
      </c>
      <c r="G9" s="102" t="s">
        <v>213</v>
      </c>
      <c r="H9" s="103" t="s">
        <v>214</v>
      </c>
      <c r="I9" s="101"/>
      <c r="J9" s="101"/>
      <c r="K9" s="101"/>
      <c r="L9" s="101" t="s">
        <v>215</v>
      </c>
      <c r="M9" s="91"/>
      <c r="N9" s="91"/>
      <c r="O9" s="91"/>
      <c r="P9" s="91"/>
      <c r="Q9" s="91"/>
      <c r="R9" s="91"/>
      <c r="S9" s="91"/>
      <c r="T9" s="91"/>
      <c r="U9" s="91"/>
      <c r="V9" s="91"/>
      <c r="W9" s="91"/>
      <c r="X9" s="91"/>
      <c r="Y9" s="91"/>
      <c r="Z9" s="91"/>
    </row>
    <row r="10" ht="72.0" customHeight="1">
      <c r="A10" s="96">
        <v>1.0</v>
      </c>
      <c r="B10" s="101" t="s">
        <v>216</v>
      </c>
      <c r="C10" s="101" t="s">
        <v>77</v>
      </c>
      <c r="D10" s="101" t="s">
        <v>217</v>
      </c>
      <c r="E10" s="101"/>
      <c r="F10" s="102" t="s">
        <v>218</v>
      </c>
      <c r="G10" s="103" t="s">
        <v>219</v>
      </c>
      <c r="H10" s="103" t="s">
        <v>220</v>
      </c>
      <c r="I10" s="101"/>
      <c r="J10" s="101"/>
      <c r="K10" s="101"/>
      <c r="L10" s="101" t="s">
        <v>215</v>
      </c>
      <c r="M10" s="91"/>
      <c r="N10" s="91"/>
      <c r="O10" s="91"/>
      <c r="P10" s="91"/>
      <c r="Q10" s="91"/>
      <c r="R10" s="91"/>
      <c r="S10" s="91"/>
      <c r="T10" s="91"/>
      <c r="U10" s="91"/>
      <c r="V10" s="91"/>
      <c r="W10" s="91"/>
      <c r="X10" s="91"/>
      <c r="Y10" s="91"/>
      <c r="Z10" s="91"/>
    </row>
    <row r="11" ht="72.0" customHeight="1">
      <c r="A11" s="96">
        <v>1.0</v>
      </c>
      <c r="B11" s="101" t="s">
        <v>221</v>
      </c>
      <c r="C11" s="101" t="s">
        <v>77</v>
      </c>
      <c r="D11" s="101" t="s">
        <v>222</v>
      </c>
      <c r="E11" s="101"/>
      <c r="F11" s="102" t="s">
        <v>223</v>
      </c>
      <c r="G11" s="101" t="s">
        <v>224</v>
      </c>
      <c r="H11" s="103" t="s">
        <v>225</v>
      </c>
      <c r="I11" s="101"/>
      <c r="J11" s="101"/>
      <c r="K11" s="101"/>
      <c r="L11" s="103" t="s">
        <v>215</v>
      </c>
      <c r="M11" s="91"/>
      <c r="N11" s="91"/>
      <c r="O11" s="91"/>
      <c r="P11" s="91"/>
      <c r="Q11" s="91"/>
      <c r="R11" s="91"/>
      <c r="S11" s="91"/>
      <c r="T11" s="91"/>
      <c r="U11" s="91"/>
      <c r="V11" s="91"/>
      <c r="W11" s="91"/>
      <c r="X11" s="91"/>
      <c r="Y11" s="91"/>
      <c r="Z11" s="91"/>
    </row>
    <row r="12" ht="72.0" customHeight="1">
      <c r="A12" s="96">
        <v>3.0</v>
      </c>
      <c r="B12" s="101" t="s">
        <v>226</v>
      </c>
      <c r="C12" s="101" t="s">
        <v>77</v>
      </c>
      <c r="D12" s="101" t="s">
        <v>227</v>
      </c>
      <c r="E12" s="101"/>
      <c r="F12" s="101"/>
      <c r="G12" s="104" t="s">
        <v>228</v>
      </c>
      <c r="H12" s="103" t="s">
        <v>229</v>
      </c>
      <c r="I12" s="101"/>
      <c r="J12" s="101"/>
      <c r="K12" s="101"/>
      <c r="L12" s="103" t="s">
        <v>215</v>
      </c>
      <c r="M12" s="91"/>
      <c r="N12" s="91"/>
      <c r="O12" s="91"/>
      <c r="P12" s="91"/>
      <c r="Q12" s="91"/>
      <c r="R12" s="91"/>
      <c r="S12" s="91"/>
      <c r="T12" s="91"/>
      <c r="U12" s="91"/>
      <c r="V12" s="91"/>
      <c r="W12" s="91"/>
      <c r="X12" s="91"/>
      <c r="Y12" s="91"/>
      <c r="Z12" s="91"/>
    </row>
    <row r="13" ht="72.0" customHeight="1">
      <c r="A13" s="96">
        <v>1.0</v>
      </c>
      <c r="B13" s="101" t="s">
        <v>230</v>
      </c>
      <c r="C13" s="101" t="s">
        <v>78</v>
      </c>
      <c r="D13" s="101" t="s">
        <v>231</v>
      </c>
      <c r="E13" s="101"/>
      <c r="F13" s="102" t="s">
        <v>232</v>
      </c>
      <c r="G13" s="103" t="s">
        <v>233</v>
      </c>
      <c r="H13" s="103" t="s">
        <v>234</v>
      </c>
      <c r="I13" s="101"/>
      <c r="J13" s="101"/>
      <c r="K13" s="101"/>
      <c r="L13" s="101" t="s">
        <v>215</v>
      </c>
      <c r="M13" s="91"/>
      <c r="N13" s="91"/>
      <c r="O13" s="91"/>
      <c r="P13" s="91"/>
      <c r="Q13" s="91"/>
      <c r="R13" s="91"/>
      <c r="S13" s="91"/>
      <c r="T13" s="91"/>
      <c r="U13" s="91"/>
      <c r="V13" s="91"/>
      <c r="W13" s="91"/>
      <c r="X13" s="91"/>
      <c r="Y13" s="91"/>
      <c r="Z13" s="91"/>
    </row>
    <row r="14" ht="72.0" customHeight="1">
      <c r="A14" s="96">
        <v>1.0</v>
      </c>
      <c r="B14" s="101" t="s">
        <v>235</v>
      </c>
      <c r="C14" s="101" t="s">
        <v>78</v>
      </c>
      <c r="D14" s="101" t="s">
        <v>236</v>
      </c>
      <c r="E14" s="101"/>
      <c r="F14" s="102" t="s">
        <v>237</v>
      </c>
      <c r="G14" s="101" t="s">
        <v>238</v>
      </c>
      <c r="H14" s="103" t="s">
        <v>239</v>
      </c>
      <c r="I14" s="101"/>
      <c r="J14" s="101"/>
      <c r="K14" s="101"/>
      <c r="L14" s="101" t="s">
        <v>215</v>
      </c>
      <c r="M14" s="91"/>
      <c r="N14" s="91"/>
      <c r="O14" s="91"/>
      <c r="P14" s="91"/>
      <c r="Q14" s="91"/>
      <c r="R14" s="91"/>
      <c r="S14" s="91"/>
      <c r="T14" s="91"/>
      <c r="U14" s="91"/>
      <c r="V14" s="91"/>
      <c r="W14" s="91"/>
      <c r="X14" s="91"/>
      <c r="Y14" s="91"/>
      <c r="Z14" s="91"/>
    </row>
    <row r="15" ht="72.0" customHeight="1">
      <c r="A15" s="96">
        <v>1.0</v>
      </c>
      <c r="B15" s="101" t="s">
        <v>240</v>
      </c>
      <c r="C15" s="101" t="s">
        <v>78</v>
      </c>
      <c r="D15" s="101" t="s">
        <v>241</v>
      </c>
      <c r="E15" s="101"/>
      <c r="F15" s="102" t="s">
        <v>242</v>
      </c>
      <c r="G15" s="101" t="s">
        <v>243</v>
      </c>
      <c r="H15" s="103" t="s">
        <v>244</v>
      </c>
      <c r="I15" s="101"/>
      <c r="J15" s="101"/>
      <c r="K15" s="101"/>
      <c r="L15" s="103" t="s">
        <v>215</v>
      </c>
      <c r="M15" s="91"/>
      <c r="N15" s="91"/>
      <c r="O15" s="91"/>
      <c r="P15" s="91"/>
      <c r="Q15" s="91"/>
      <c r="R15" s="91"/>
      <c r="S15" s="91"/>
      <c r="T15" s="91"/>
      <c r="U15" s="91"/>
      <c r="V15" s="91"/>
      <c r="W15" s="91"/>
      <c r="X15" s="91"/>
      <c r="Y15" s="91"/>
      <c r="Z15" s="91"/>
    </row>
    <row r="16" ht="72.0" customHeight="1">
      <c r="A16" s="96">
        <v>1.0</v>
      </c>
      <c r="B16" s="101" t="s">
        <v>245</v>
      </c>
      <c r="C16" s="101" t="s">
        <v>78</v>
      </c>
      <c r="D16" s="101" t="s">
        <v>246</v>
      </c>
      <c r="E16" s="101"/>
      <c r="F16" s="102" t="s">
        <v>247</v>
      </c>
      <c r="G16" s="101" t="s">
        <v>248</v>
      </c>
      <c r="H16" s="103" t="s">
        <v>249</v>
      </c>
      <c r="I16" s="101"/>
      <c r="J16" s="101"/>
      <c r="K16" s="101"/>
      <c r="L16" s="103" t="s">
        <v>215</v>
      </c>
      <c r="M16" s="91"/>
      <c r="N16" s="91"/>
      <c r="O16" s="91"/>
      <c r="P16" s="91"/>
      <c r="Q16" s="91"/>
      <c r="R16" s="91"/>
      <c r="S16" s="91"/>
      <c r="T16" s="91"/>
      <c r="U16" s="91"/>
      <c r="V16" s="91"/>
      <c r="W16" s="91"/>
      <c r="X16" s="91"/>
      <c r="Y16" s="91"/>
      <c r="Z16" s="91"/>
    </row>
    <row r="17" ht="72.0" customHeight="1">
      <c r="A17" s="96">
        <v>3.0</v>
      </c>
      <c r="B17" s="101" t="s">
        <v>250</v>
      </c>
      <c r="C17" s="101" t="s">
        <v>78</v>
      </c>
      <c r="D17" s="101" t="s">
        <v>251</v>
      </c>
      <c r="E17" s="101"/>
      <c r="F17" s="101"/>
      <c r="G17" s="104" t="s">
        <v>252</v>
      </c>
      <c r="H17" s="103" t="s">
        <v>253</v>
      </c>
      <c r="I17" s="101"/>
      <c r="J17" s="101"/>
      <c r="K17" s="101"/>
      <c r="L17" s="103" t="s">
        <v>215</v>
      </c>
      <c r="M17" s="91"/>
      <c r="N17" s="91"/>
      <c r="O17" s="91"/>
      <c r="P17" s="91"/>
      <c r="Q17" s="91"/>
      <c r="R17" s="91"/>
      <c r="S17" s="91"/>
      <c r="T17" s="91"/>
      <c r="U17" s="91"/>
      <c r="V17" s="91"/>
      <c r="W17" s="91"/>
      <c r="X17" s="91"/>
      <c r="Y17" s="91"/>
      <c r="Z17" s="91"/>
    </row>
    <row r="18" ht="72.0" customHeight="1">
      <c r="A18" s="96">
        <v>1.0</v>
      </c>
      <c r="B18" s="101" t="s">
        <v>254</v>
      </c>
      <c r="C18" s="101" t="s">
        <v>79</v>
      </c>
      <c r="D18" s="101" t="s">
        <v>255</v>
      </c>
      <c r="E18" s="101"/>
      <c r="F18" s="102" t="s">
        <v>256</v>
      </c>
      <c r="G18" s="102" t="s">
        <v>257</v>
      </c>
      <c r="H18" s="103" t="s">
        <v>258</v>
      </c>
      <c r="I18" s="101"/>
      <c r="J18" s="101"/>
      <c r="K18" s="101"/>
      <c r="L18" s="101" t="s">
        <v>215</v>
      </c>
      <c r="M18" s="91"/>
      <c r="N18" s="91"/>
      <c r="O18" s="91"/>
      <c r="P18" s="91"/>
      <c r="Q18" s="91"/>
      <c r="R18" s="91"/>
      <c r="S18" s="91"/>
      <c r="T18" s="91"/>
      <c r="U18" s="91"/>
      <c r="V18" s="91"/>
      <c r="W18" s="91"/>
      <c r="X18" s="91"/>
      <c r="Y18" s="91"/>
      <c r="Z18" s="91"/>
    </row>
    <row r="19" ht="72.0" customHeight="1">
      <c r="A19" s="96">
        <v>1.0</v>
      </c>
      <c r="B19" s="101" t="s">
        <v>259</v>
      </c>
      <c r="C19" s="101" t="s">
        <v>79</v>
      </c>
      <c r="D19" s="101" t="s">
        <v>260</v>
      </c>
      <c r="E19" s="101"/>
      <c r="F19" s="102" t="s">
        <v>261</v>
      </c>
      <c r="G19" s="102" t="s">
        <v>262</v>
      </c>
      <c r="H19" s="103" t="s">
        <v>263</v>
      </c>
      <c r="I19" s="101"/>
      <c r="J19" s="101"/>
      <c r="K19" s="101"/>
      <c r="L19" s="101" t="s">
        <v>215</v>
      </c>
      <c r="M19" s="91"/>
      <c r="N19" s="91"/>
      <c r="O19" s="91"/>
      <c r="P19" s="91"/>
      <c r="Q19" s="91"/>
      <c r="R19" s="91"/>
      <c r="S19" s="91"/>
      <c r="T19" s="91"/>
      <c r="U19" s="91"/>
      <c r="V19" s="91"/>
      <c r="W19" s="91"/>
      <c r="X19" s="91"/>
      <c r="Y19" s="91"/>
      <c r="Z19" s="91"/>
    </row>
    <row r="20" ht="72.0" customHeight="1">
      <c r="A20" s="96">
        <v>1.0</v>
      </c>
      <c r="B20" s="101" t="s">
        <v>264</v>
      </c>
      <c r="C20" s="101" t="s">
        <v>79</v>
      </c>
      <c r="D20" s="101" t="s">
        <v>265</v>
      </c>
      <c r="E20" s="101"/>
      <c r="F20" s="102" t="s">
        <v>266</v>
      </c>
      <c r="G20" s="102" t="s">
        <v>267</v>
      </c>
      <c r="H20" s="103" t="s">
        <v>268</v>
      </c>
      <c r="I20" s="101"/>
      <c r="J20" s="101" t="s">
        <v>39</v>
      </c>
      <c r="K20" s="101"/>
      <c r="L20" s="101" t="s">
        <v>215</v>
      </c>
      <c r="M20" s="91"/>
      <c r="N20" s="91"/>
      <c r="O20" s="91"/>
      <c r="P20" s="91"/>
      <c r="Q20" s="91"/>
      <c r="R20" s="91"/>
      <c r="S20" s="91"/>
      <c r="T20" s="91"/>
      <c r="U20" s="91"/>
      <c r="V20" s="91"/>
      <c r="W20" s="91"/>
      <c r="X20" s="91"/>
      <c r="Y20" s="91"/>
      <c r="Z20" s="91"/>
    </row>
    <row r="21" ht="72.0" customHeight="1">
      <c r="A21" s="96">
        <v>3.0</v>
      </c>
      <c r="B21" s="101" t="s">
        <v>269</v>
      </c>
      <c r="C21" s="101" t="s">
        <v>79</v>
      </c>
      <c r="D21" s="105" t="s">
        <v>270</v>
      </c>
      <c r="E21" s="101"/>
      <c r="F21" s="101"/>
      <c r="G21" s="104" t="s">
        <v>271</v>
      </c>
      <c r="H21" s="103" t="s">
        <v>272</v>
      </c>
      <c r="I21" s="106"/>
      <c r="J21" s="101"/>
      <c r="K21" s="106"/>
      <c r="L21" s="103" t="s">
        <v>215</v>
      </c>
      <c r="M21" s="91"/>
      <c r="N21" s="91"/>
      <c r="O21" s="91"/>
      <c r="P21" s="91"/>
      <c r="Q21" s="91"/>
      <c r="R21" s="91"/>
      <c r="S21" s="91"/>
      <c r="T21" s="91"/>
      <c r="U21" s="91"/>
      <c r="V21" s="91"/>
      <c r="W21" s="91"/>
      <c r="X21" s="91"/>
      <c r="Y21" s="91"/>
      <c r="Z21" s="91"/>
    </row>
    <row r="22" ht="72.0" customHeight="1">
      <c r="A22" s="96">
        <v>2.0</v>
      </c>
      <c r="B22" s="101" t="s">
        <v>273</v>
      </c>
      <c r="C22" s="101" t="s">
        <v>80</v>
      </c>
      <c r="D22" s="101" t="s">
        <v>274</v>
      </c>
      <c r="E22" s="101"/>
      <c r="F22" s="101"/>
      <c r="G22" s="104" t="s">
        <v>275</v>
      </c>
      <c r="H22" s="103" t="s">
        <v>276</v>
      </c>
      <c r="I22" s="106"/>
      <c r="J22" s="101"/>
      <c r="K22" s="106"/>
      <c r="L22" s="103" t="s">
        <v>215</v>
      </c>
      <c r="M22" s="91"/>
      <c r="N22" s="91"/>
      <c r="O22" s="91"/>
      <c r="P22" s="91"/>
      <c r="Q22" s="91"/>
      <c r="R22" s="91"/>
      <c r="S22" s="91"/>
      <c r="T22" s="91"/>
      <c r="U22" s="91"/>
      <c r="V22" s="91"/>
      <c r="W22" s="91"/>
      <c r="X22" s="91"/>
      <c r="Y22" s="91"/>
      <c r="Z22" s="91"/>
    </row>
    <row r="23" ht="72.0" customHeight="1">
      <c r="A23" s="96">
        <v>2.0</v>
      </c>
      <c r="B23" s="101" t="s">
        <v>277</v>
      </c>
      <c r="C23" s="101" t="s">
        <v>80</v>
      </c>
      <c r="D23" s="101" t="s">
        <v>278</v>
      </c>
      <c r="E23" s="101"/>
      <c r="F23" s="101"/>
      <c r="G23" s="104" t="s">
        <v>279</v>
      </c>
      <c r="H23" s="103" t="s">
        <v>280</v>
      </c>
      <c r="I23" s="106"/>
      <c r="J23" s="101"/>
      <c r="K23" s="106"/>
      <c r="L23" s="103" t="s">
        <v>215</v>
      </c>
      <c r="M23" s="91"/>
      <c r="N23" s="91"/>
      <c r="O23" s="91"/>
      <c r="P23" s="91"/>
      <c r="Q23" s="91"/>
      <c r="R23" s="91"/>
      <c r="S23" s="91"/>
      <c r="T23" s="91"/>
      <c r="U23" s="91"/>
      <c r="V23" s="91"/>
      <c r="W23" s="91"/>
      <c r="X23" s="91"/>
      <c r="Y23" s="91"/>
      <c r="Z23" s="91"/>
    </row>
    <row r="24" ht="72.0" customHeight="1">
      <c r="A24" s="96">
        <v>2.0</v>
      </c>
      <c r="B24" s="101" t="s">
        <v>281</v>
      </c>
      <c r="C24" s="101" t="s">
        <v>80</v>
      </c>
      <c r="D24" s="101" t="s">
        <v>282</v>
      </c>
      <c r="E24" s="101"/>
      <c r="F24" s="101"/>
      <c r="G24" s="104" t="s">
        <v>283</v>
      </c>
      <c r="H24" s="103" t="s">
        <v>284</v>
      </c>
      <c r="I24" s="106"/>
      <c r="J24" s="101"/>
      <c r="K24" s="106"/>
      <c r="L24" s="103" t="s">
        <v>215</v>
      </c>
      <c r="M24" s="91"/>
      <c r="N24" s="91"/>
      <c r="O24" s="91"/>
      <c r="P24" s="91"/>
      <c r="Q24" s="91"/>
      <c r="R24" s="91"/>
      <c r="S24" s="91"/>
      <c r="T24" s="91"/>
      <c r="U24" s="91"/>
      <c r="V24" s="91"/>
      <c r="W24" s="91"/>
      <c r="X24" s="91"/>
      <c r="Y24" s="91"/>
      <c r="Z24" s="91"/>
    </row>
    <row r="25" ht="72.0" customHeight="1">
      <c r="A25" s="96">
        <v>2.0</v>
      </c>
      <c r="B25" s="101" t="s">
        <v>285</v>
      </c>
      <c r="C25" s="101" t="s">
        <v>80</v>
      </c>
      <c r="D25" s="101" t="s">
        <v>286</v>
      </c>
      <c r="E25" s="101"/>
      <c r="F25" s="101"/>
      <c r="G25" s="104" t="s">
        <v>287</v>
      </c>
      <c r="H25" s="103" t="s">
        <v>288</v>
      </c>
      <c r="I25" s="106"/>
      <c r="J25" s="101"/>
      <c r="K25" s="106"/>
      <c r="L25" s="103" t="s">
        <v>215</v>
      </c>
      <c r="M25" s="91"/>
      <c r="N25" s="91"/>
      <c r="O25" s="91"/>
      <c r="P25" s="91"/>
      <c r="Q25" s="91"/>
      <c r="R25" s="91"/>
      <c r="S25" s="91"/>
      <c r="T25" s="91"/>
      <c r="U25" s="91"/>
      <c r="V25" s="91"/>
      <c r="W25" s="91"/>
      <c r="X25" s="91"/>
      <c r="Y25" s="91"/>
      <c r="Z25" s="91"/>
    </row>
    <row r="26" ht="72.0" customHeight="1">
      <c r="A26" s="96">
        <v>2.0</v>
      </c>
      <c r="B26" s="101" t="s">
        <v>289</v>
      </c>
      <c r="C26" s="101" t="s">
        <v>80</v>
      </c>
      <c r="D26" s="101" t="s">
        <v>290</v>
      </c>
      <c r="E26" s="101"/>
      <c r="F26" s="101"/>
      <c r="G26" s="104" t="s">
        <v>291</v>
      </c>
      <c r="H26" s="103" t="s">
        <v>292</v>
      </c>
      <c r="I26" s="106"/>
      <c r="J26" s="101"/>
      <c r="K26" s="106"/>
      <c r="L26" s="103" t="s">
        <v>215</v>
      </c>
      <c r="M26" s="91"/>
      <c r="N26" s="91"/>
      <c r="O26" s="91"/>
      <c r="P26" s="91"/>
      <c r="Q26" s="91"/>
      <c r="R26" s="91"/>
      <c r="S26" s="91"/>
      <c r="T26" s="91"/>
      <c r="U26" s="91"/>
      <c r="V26" s="91"/>
      <c r="W26" s="91"/>
      <c r="X26" s="91"/>
      <c r="Y26" s="91"/>
      <c r="Z26" s="91"/>
    </row>
    <row r="27" ht="72.0" customHeight="1">
      <c r="A27" s="96">
        <v>2.0</v>
      </c>
      <c r="B27" s="101" t="s">
        <v>293</v>
      </c>
      <c r="C27" s="101" t="s">
        <v>80</v>
      </c>
      <c r="D27" s="101" t="s">
        <v>294</v>
      </c>
      <c r="E27" s="101"/>
      <c r="F27" s="101"/>
      <c r="G27" s="104" t="s">
        <v>295</v>
      </c>
      <c r="H27" s="103" t="s">
        <v>296</v>
      </c>
      <c r="I27" s="106"/>
      <c r="J27" s="101"/>
      <c r="K27" s="106"/>
      <c r="L27" s="103" t="s">
        <v>215</v>
      </c>
      <c r="M27" s="91"/>
      <c r="N27" s="91"/>
      <c r="O27" s="91"/>
      <c r="P27" s="91"/>
      <c r="Q27" s="91"/>
      <c r="R27" s="91"/>
      <c r="S27" s="91"/>
      <c r="T27" s="91"/>
      <c r="U27" s="91"/>
      <c r="V27" s="91"/>
      <c r="W27" s="91"/>
      <c r="X27" s="91"/>
      <c r="Y27" s="91"/>
      <c r="Z27" s="91"/>
    </row>
    <row r="28" ht="72.0" customHeight="1">
      <c r="A28" s="96">
        <v>3.0</v>
      </c>
      <c r="B28" s="101" t="s">
        <v>297</v>
      </c>
      <c r="C28" s="101" t="s">
        <v>80</v>
      </c>
      <c r="D28" s="101" t="s">
        <v>298</v>
      </c>
      <c r="E28" s="101"/>
      <c r="F28" s="101"/>
      <c r="G28" s="104" t="s">
        <v>299</v>
      </c>
      <c r="H28" s="103" t="s">
        <v>300</v>
      </c>
      <c r="I28" s="106"/>
      <c r="J28" s="101"/>
      <c r="K28" s="106"/>
      <c r="L28" s="103" t="s">
        <v>215</v>
      </c>
      <c r="M28" s="91"/>
      <c r="N28" s="91"/>
      <c r="O28" s="91"/>
      <c r="P28" s="91"/>
      <c r="Q28" s="91"/>
      <c r="R28" s="91"/>
      <c r="S28" s="91"/>
      <c r="T28" s="91"/>
      <c r="U28" s="91"/>
      <c r="V28" s="91"/>
      <c r="W28" s="91"/>
      <c r="X28" s="91"/>
      <c r="Y28" s="91"/>
      <c r="Z28" s="91"/>
    </row>
    <row r="29" ht="72.0" customHeight="1">
      <c r="A29" s="96">
        <v>1.0</v>
      </c>
      <c r="B29" s="101" t="s">
        <v>301</v>
      </c>
      <c r="C29" s="101" t="s">
        <v>81</v>
      </c>
      <c r="D29" s="101" t="s">
        <v>302</v>
      </c>
      <c r="E29" s="101"/>
      <c r="F29" s="102" t="s">
        <v>303</v>
      </c>
      <c r="G29" s="102" t="s">
        <v>304</v>
      </c>
      <c r="H29" s="103" t="s">
        <v>305</v>
      </c>
      <c r="I29" s="106"/>
      <c r="J29" s="101"/>
      <c r="K29" s="106"/>
      <c r="L29" s="101" t="s">
        <v>215</v>
      </c>
      <c r="M29" s="91"/>
      <c r="N29" s="91"/>
      <c r="O29" s="91"/>
      <c r="P29" s="91"/>
      <c r="Q29" s="91"/>
      <c r="R29" s="91"/>
      <c r="S29" s="91"/>
      <c r="T29" s="91"/>
      <c r="U29" s="91"/>
      <c r="V29" s="91"/>
      <c r="W29" s="91"/>
      <c r="X29" s="91"/>
      <c r="Y29" s="91"/>
      <c r="Z29" s="91"/>
    </row>
    <row r="30" ht="72.0" customHeight="1">
      <c r="A30" s="96">
        <v>1.0</v>
      </c>
      <c r="B30" s="101" t="s">
        <v>306</v>
      </c>
      <c r="C30" s="101" t="s">
        <v>81</v>
      </c>
      <c r="D30" s="101" t="s">
        <v>307</v>
      </c>
      <c r="E30" s="101"/>
      <c r="F30" s="102" t="s">
        <v>308</v>
      </c>
      <c r="G30" s="102" t="s">
        <v>309</v>
      </c>
      <c r="H30" s="103" t="s">
        <v>310</v>
      </c>
      <c r="I30" s="106"/>
      <c r="J30" s="101"/>
      <c r="K30" s="101"/>
      <c r="L30" s="101" t="s">
        <v>215</v>
      </c>
      <c r="M30" s="91"/>
      <c r="N30" s="91"/>
      <c r="O30" s="91"/>
      <c r="P30" s="91"/>
      <c r="Q30" s="91"/>
      <c r="R30" s="91"/>
      <c r="S30" s="91"/>
      <c r="T30" s="91"/>
      <c r="U30" s="91"/>
      <c r="V30" s="91"/>
      <c r="W30" s="91"/>
      <c r="X30" s="91"/>
      <c r="Y30" s="91"/>
      <c r="Z30" s="91"/>
    </row>
    <row r="31" ht="72.0" customHeight="1">
      <c r="A31" s="96">
        <v>2.0</v>
      </c>
      <c r="B31" s="101" t="s">
        <v>311</v>
      </c>
      <c r="C31" s="101" t="s">
        <v>81</v>
      </c>
      <c r="D31" s="101" t="s">
        <v>312</v>
      </c>
      <c r="E31" s="101"/>
      <c r="F31" s="101"/>
      <c r="G31" s="104" t="s">
        <v>313</v>
      </c>
      <c r="H31" s="103" t="s">
        <v>314</v>
      </c>
      <c r="I31" s="101"/>
      <c r="J31" s="101"/>
      <c r="K31" s="101"/>
      <c r="L31" s="103" t="s">
        <v>215</v>
      </c>
      <c r="M31" s="91"/>
      <c r="N31" s="91"/>
      <c r="O31" s="91"/>
      <c r="P31" s="91"/>
      <c r="Q31" s="91"/>
      <c r="R31" s="91"/>
      <c r="S31" s="91"/>
      <c r="T31" s="91"/>
      <c r="U31" s="91"/>
      <c r="V31" s="91"/>
      <c r="W31" s="91"/>
      <c r="X31" s="91"/>
      <c r="Y31" s="91"/>
      <c r="Z31" s="91"/>
    </row>
    <row r="32" ht="72.0" customHeight="1">
      <c r="A32" s="96">
        <v>2.0</v>
      </c>
      <c r="B32" s="101" t="s">
        <v>315</v>
      </c>
      <c r="C32" s="101" t="s">
        <v>81</v>
      </c>
      <c r="D32" s="101" t="s">
        <v>316</v>
      </c>
      <c r="E32" s="101"/>
      <c r="F32" s="101"/>
      <c r="G32" s="104" t="s">
        <v>317</v>
      </c>
      <c r="H32" s="103" t="s">
        <v>318</v>
      </c>
      <c r="I32" s="101"/>
      <c r="J32" s="101"/>
      <c r="K32" s="101"/>
      <c r="L32" s="103" t="s">
        <v>215</v>
      </c>
      <c r="M32" s="91"/>
      <c r="N32" s="91"/>
      <c r="O32" s="91"/>
      <c r="P32" s="91"/>
      <c r="Q32" s="91"/>
      <c r="R32" s="91"/>
      <c r="S32" s="91"/>
      <c r="T32" s="91"/>
      <c r="U32" s="91"/>
      <c r="V32" s="91"/>
      <c r="W32" s="91"/>
      <c r="X32" s="91"/>
      <c r="Y32" s="91"/>
      <c r="Z32" s="91"/>
    </row>
    <row r="33" ht="72.0" customHeight="1">
      <c r="A33" s="96">
        <v>2.0</v>
      </c>
      <c r="B33" s="101" t="s">
        <v>319</v>
      </c>
      <c r="C33" s="101" t="s">
        <v>81</v>
      </c>
      <c r="D33" s="101" t="s">
        <v>320</v>
      </c>
      <c r="E33" s="101"/>
      <c r="F33" s="101"/>
      <c r="G33" s="104" t="s">
        <v>321</v>
      </c>
      <c r="H33" s="103" t="s">
        <v>322</v>
      </c>
      <c r="I33" s="101"/>
      <c r="J33" s="101"/>
      <c r="K33" s="101"/>
      <c r="L33" s="103" t="s">
        <v>215</v>
      </c>
      <c r="M33" s="91"/>
      <c r="N33" s="91"/>
      <c r="O33" s="91"/>
      <c r="P33" s="91"/>
      <c r="Q33" s="91"/>
      <c r="R33" s="91"/>
      <c r="S33" s="91"/>
      <c r="T33" s="91"/>
      <c r="U33" s="91"/>
      <c r="V33" s="91"/>
      <c r="W33" s="91"/>
      <c r="X33" s="91"/>
      <c r="Y33" s="91"/>
      <c r="Z33" s="91"/>
    </row>
    <row r="34" ht="72.0" customHeight="1">
      <c r="A34" s="96">
        <v>3.0</v>
      </c>
      <c r="B34" s="101" t="s">
        <v>323</v>
      </c>
      <c r="C34" s="101" t="s">
        <v>81</v>
      </c>
      <c r="D34" s="101" t="s">
        <v>324</v>
      </c>
      <c r="E34" s="101"/>
      <c r="F34" s="101"/>
      <c r="G34" s="104" t="s">
        <v>325</v>
      </c>
      <c r="H34" s="103" t="s">
        <v>326</v>
      </c>
      <c r="I34" s="101"/>
      <c r="J34" s="101"/>
      <c r="K34" s="101"/>
      <c r="L34" s="103" t="s">
        <v>215</v>
      </c>
      <c r="M34" s="91"/>
      <c r="N34" s="91"/>
      <c r="O34" s="91"/>
      <c r="P34" s="91"/>
      <c r="Q34" s="91"/>
      <c r="R34" s="91"/>
      <c r="S34" s="91"/>
      <c r="T34" s="91"/>
      <c r="U34" s="91"/>
      <c r="V34" s="91"/>
      <c r="W34" s="91"/>
      <c r="X34" s="91"/>
      <c r="Y34" s="91"/>
      <c r="Z34" s="91"/>
    </row>
    <row r="35" ht="72.0" customHeight="1">
      <c r="A35" s="96">
        <v>1.0</v>
      </c>
      <c r="B35" s="101" t="s">
        <v>327</v>
      </c>
      <c r="C35" s="101" t="s">
        <v>82</v>
      </c>
      <c r="D35" s="101" t="s">
        <v>328</v>
      </c>
      <c r="E35" s="101"/>
      <c r="F35" s="102" t="s">
        <v>329</v>
      </c>
      <c r="G35" s="102" t="s">
        <v>330</v>
      </c>
      <c r="H35" s="103" t="s">
        <v>331</v>
      </c>
      <c r="I35" s="101"/>
      <c r="J35" s="101"/>
      <c r="K35" s="101"/>
      <c r="L35" s="103" t="s">
        <v>215</v>
      </c>
      <c r="M35" s="91"/>
      <c r="N35" s="91"/>
      <c r="O35" s="91"/>
      <c r="P35" s="91"/>
      <c r="Q35" s="91"/>
      <c r="R35" s="91"/>
      <c r="S35" s="91"/>
      <c r="T35" s="91"/>
      <c r="U35" s="91"/>
      <c r="V35" s="91"/>
      <c r="W35" s="91"/>
      <c r="X35" s="91"/>
      <c r="Y35" s="91"/>
      <c r="Z35" s="91"/>
    </row>
    <row r="36" ht="72.0" customHeight="1">
      <c r="A36" s="96">
        <v>1.0</v>
      </c>
      <c r="B36" s="101" t="s">
        <v>332</v>
      </c>
      <c r="C36" s="101" t="s">
        <v>82</v>
      </c>
      <c r="D36" s="107" t="s">
        <v>333</v>
      </c>
      <c r="E36" s="101"/>
      <c r="F36" s="101"/>
      <c r="G36" s="101"/>
      <c r="H36" s="103" t="s">
        <v>334</v>
      </c>
      <c r="I36" s="101"/>
      <c r="J36" s="101"/>
      <c r="K36" s="101"/>
      <c r="L36" s="103" t="s">
        <v>215</v>
      </c>
      <c r="M36" s="91"/>
      <c r="N36" s="91"/>
      <c r="O36" s="91"/>
      <c r="P36" s="91"/>
      <c r="Q36" s="91"/>
      <c r="R36" s="91"/>
      <c r="S36" s="91"/>
      <c r="T36" s="91"/>
      <c r="U36" s="91"/>
      <c r="V36" s="91"/>
      <c r="W36" s="91"/>
      <c r="X36" s="91"/>
      <c r="Y36" s="91"/>
      <c r="Z36" s="91"/>
    </row>
    <row r="37" ht="72.0" customHeight="1">
      <c r="A37" s="96">
        <v>2.0</v>
      </c>
      <c r="B37" s="101" t="s">
        <v>335</v>
      </c>
      <c r="C37" s="101" t="s">
        <v>82</v>
      </c>
      <c r="D37" s="108" t="s">
        <v>336</v>
      </c>
      <c r="E37" s="101"/>
      <c r="F37" s="101"/>
      <c r="G37" s="104" t="s">
        <v>337</v>
      </c>
      <c r="H37" s="103" t="s">
        <v>338</v>
      </c>
      <c r="I37" s="101"/>
      <c r="J37" s="101"/>
      <c r="K37" s="101"/>
      <c r="L37" s="103" t="s">
        <v>215</v>
      </c>
      <c r="M37" s="91"/>
      <c r="N37" s="91"/>
      <c r="O37" s="91"/>
      <c r="P37" s="91"/>
      <c r="Q37" s="91"/>
      <c r="R37" s="91"/>
      <c r="S37" s="91"/>
      <c r="T37" s="91"/>
      <c r="U37" s="91"/>
      <c r="V37" s="91"/>
      <c r="W37" s="91"/>
      <c r="X37" s="91"/>
      <c r="Y37" s="91"/>
      <c r="Z37" s="91"/>
    </row>
    <row r="38" ht="72.0" customHeight="1">
      <c r="A38" s="96">
        <v>3.0</v>
      </c>
      <c r="B38" s="101" t="s">
        <v>339</v>
      </c>
      <c r="C38" s="101" t="s">
        <v>82</v>
      </c>
      <c r="D38" s="108" t="s">
        <v>340</v>
      </c>
      <c r="E38" s="101"/>
      <c r="F38" s="101"/>
      <c r="G38" s="104" t="s">
        <v>341</v>
      </c>
      <c r="H38" s="103" t="s">
        <v>342</v>
      </c>
      <c r="I38" s="101"/>
      <c r="J38" s="101"/>
      <c r="K38" s="101"/>
      <c r="L38" s="103" t="s">
        <v>215</v>
      </c>
      <c r="M38" s="91"/>
      <c r="N38" s="91"/>
      <c r="O38" s="91"/>
      <c r="P38" s="91"/>
      <c r="Q38" s="91"/>
      <c r="R38" s="91"/>
      <c r="S38" s="91"/>
      <c r="T38" s="91"/>
      <c r="U38" s="91"/>
      <c r="V38" s="91"/>
      <c r="W38" s="91"/>
      <c r="X38" s="91"/>
      <c r="Y38" s="91"/>
      <c r="Z38" s="91"/>
    </row>
    <row r="39" ht="72.0" customHeight="1">
      <c r="A39" s="96">
        <v>1.0</v>
      </c>
      <c r="B39" s="101" t="s">
        <v>343</v>
      </c>
      <c r="C39" s="101" t="s">
        <v>83</v>
      </c>
      <c r="D39" s="101" t="s">
        <v>344</v>
      </c>
      <c r="E39" s="101"/>
      <c r="F39" s="102" t="s">
        <v>345</v>
      </c>
      <c r="G39" s="102" t="s">
        <v>346</v>
      </c>
      <c r="H39" s="103" t="s">
        <v>347</v>
      </c>
      <c r="I39" s="101"/>
      <c r="J39" s="101"/>
      <c r="K39" s="101"/>
      <c r="L39" s="101" t="s">
        <v>215</v>
      </c>
      <c r="M39" s="91"/>
      <c r="N39" s="91"/>
      <c r="O39" s="91"/>
      <c r="P39" s="91"/>
      <c r="Q39" s="91"/>
      <c r="R39" s="91"/>
      <c r="S39" s="91"/>
      <c r="T39" s="91"/>
      <c r="U39" s="91"/>
      <c r="V39" s="91"/>
      <c r="W39" s="91"/>
      <c r="X39" s="91"/>
      <c r="Y39" s="91"/>
      <c r="Z39" s="91"/>
    </row>
    <row r="40" ht="72.0" customHeight="1">
      <c r="A40" s="96">
        <v>1.0</v>
      </c>
      <c r="B40" s="101" t="s">
        <v>348</v>
      </c>
      <c r="C40" s="101" t="s">
        <v>83</v>
      </c>
      <c r="D40" s="101" t="s">
        <v>349</v>
      </c>
      <c r="E40" s="101"/>
      <c r="F40" s="102" t="s">
        <v>350</v>
      </c>
      <c r="G40" s="101" t="s">
        <v>351</v>
      </c>
      <c r="H40" s="103" t="s">
        <v>352</v>
      </c>
      <c r="I40" s="101"/>
      <c r="J40" s="101"/>
      <c r="K40" s="101"/>
      <c r="L40" s="101" t="s">
        <v>215</v>
      </c>
      <c r="M40" s="91"/>
      <c r="N40" s="91"/>
      <c r="O40" s="91"/>
      <c r="P40" s="91"/>
      <c r="Q40" s="91"/>
      <c r="R40" s="91"/>
      <c r="S40" s="91"/>
      <c r="T40" s="91"/>
      <c r="U40" s="91"/>
      <c r="V40" s="91"/>
      <c r="W40" s="91"/>
      <c r="X40" s="91"/>
      <c r="Y40" s="91"/>
      <c r="Z40" s="91"/>
    </row>
    <row r="41" ht="72.0" customHeight="1">
      <c r="A41" s="96">
        <v>2.0</v>
      </c>
      <c r="B41" s="101" t="s">
        <v>353</v>
      </c>
      <c r="C41" s="101" t="s">
        <v>83</v>
      </c>
      <c r="D41" s="101" t="s">
        <v>354</v>
      </c>
      <c r="E41" s="101"/>
      <c r="F41" s="101"/>
      <c r="G41" s="104" t="s">
        <v>355</v>
      </c>
      <c r="H41" s="103" t="s">
        <v>356</v>
      </c>
      <c r="I41" s="106"/>
      <c r="J41" s="101"/>
      <c r="K41" s="106"/>
      <c r="L41" s="103" t="s">
        <v>215</v>
      </c>
      <c r="M41" s="91"/>
      <c r="N41" s="91"/>
      <c r="O41" s="91"/>
      <c r="P41" s="91"/>
      <c r="Q41" s="91"/>
      <c r="R41" s="91"/>
      <c r="S41" s="91"/>
      <c r="T41" s="91"/>
      <c r="U41" s="91"/>
      <c r="V41" s="91"/>
      <c r="W41" s="91"/>
      <c r="X41" s="91"/>
      <c r="Y41" s="91"/>
      <c r="Z41" s="91"/>
    </row>
    <row r="42" ht="72.0" customHeight="1">
      <c r="A42" s="96">
        <v>3.0</v>
      </c>
      <c r="B42" s="101" t="s">
        <v>357</v>
      </c>
      <c r="C42" s="101" t="s">
        <v>83</v>
      </c>
      <c r="D42" s="101" t="s">
        <v>358</v>
      </c>
      <c r="E42" s="101"/>
      <c r="F42" s="101"/>
      <c r="G42" s="104" t="s">
        <v>359</v>
      </c>
      <c r="H42" s="103" t="s">
        <v>360</v>
      </c>
      <c r="I42" s="106"/>
      <c r="J42" s="101"/>
      <c r="K42" s="106"/>
      <c r="L42" s="103" t="s">
        <v>215</v>
      </c>
      <c r="M42" s="91"/>
      <c r="N42" s="91"/>
      <c r="O42" s="91"/>
      <c r="P42" s="91"/>
      <c r="Q42" s="91"/>
      <c r="R42" s="91"/>
      <c r="S42" s="91"/>
      <c r="T42" s="91"/>
      <c r="U42" s="91"/>
      <c r="V42" s="91"/>
      <c r="W42" s="91"/>
      <c r="X42" s="91"/>
      <c r="Y42" s="91"/>
      <c r="Z42" s="91"/>
    </row>
    <row r="43" ht="72.0" customHeight="1">
      <c r="A43" s="96">
        <v>1.0</v>
      </c>
      <c r="B43" s="101" t="s">
        <v>361</v>
      </c>
      <c r="C43" s="101" t="s">
        <v>84</v>
      </c>
      <c r="D43" s="101" t="s">
        <v>362</v>
      </c>
      <c r="E43" s="101"/>
      <c r="F43" s="102" t="s">
        <v>363</v>
      </c>
      <c r="G43" s="102" t="s">
        <v>364</v>
      </c>
      <c r="H43" s="103" t="s">
        <v>365</v>
      </c>
      <c r="I43" s="106"/>
      <c r="J43" s="101"/>
      <c r="K43" s="106"/>
      <c r="L43" s="101" t="s">
        <v>215</v>
      </c>
      <c r="M43" s="91"/>
      <c r="N43" s="91"/>
      <c r="O43" s="91"/>
      <c r="P43" s="91"/>
      <c r="Q43" s="91"/>
      <c r="R43" s="91"/>
      <c r="S43" s="91"/>
      <c r="T43" s="91"/>
      <c r="U43" s="91"/>
      <c r="V43" s="91"/>
      <c r="W43" s="91"/>
      <c r="X43" s="91"/>
      <c r="Y43" s="91"/>
      <c r="Z43" s="91"/>
    </row>
    <row r="44" ht="72.0" customHeight="1">
      <c r="A44" s="96">
        <v>1.0</v>
      </c>
      <c r="B44" s="101" t="s">
        <v>366</v>
      </c>
      <c r="C44" s="101" t="s">
        <v>84</v>
      </c>
      <c r="D44" s="101" t="s">
        <v>367</v>
      </c>
      <c r="E44" s="101"/>
      <c r="F44" s="102" t="s">
        <v>368</v>
      </c>
      <c r="G44" s="102" t="s">
        <v>369</v>
      </c>
      <c r="H44" s="103" t="s">
        <v>370</v>
      </c>
      <c r="I44" s="106"/>
      <c r="J44" s="101"/>
      <c r="K44" s="106"/>
      <c r="L44" s="101" t="s">
        <v>215</v>
      </c>
      <c r="M44" s="91"/>
      <c r="N44" s="91"/>
      <c r="O44" s="91"/>
      <c r="P44" s="91"/>
      <c r="Q44" s="91"/>
      <c r="R44" s="91"/>
      <c r="S44" s="91"/>
      <c r="T44" s="91"/>
      <c r="U44" s="91"/>
      <c r="V44" s="91"/>
      <c r="W44" s="91"/>
      <c r="X44" s="91"/>
      <c r="Y44" s="91"/>
      <c r="Z44" s="91"/>
    </row>
    <row r="45" ht="72.0" customHeight="1">
      <c r="A45" s="96">
        <v>1.0</v>
      </c>
      <c r="B45" s="101" t="s">
        <v>371</v>
      </c>
      <c r="C45" s="101" t="s">
        <v>84</v>
      </c>
      <c r="D45" s="101" t="s">
        <v>372</v>
      </c>
      <c r="E45" s="101"/>
      <c r="F45" s="102" t="s">
        <v>373</v>
      </c>
      <c r="G45" s="103" t="s">
        <v>374</v>
      </c>
      <c r="H45" s="103" t="s">
        <v>375</v>
      </c>
      <c r="I45" s="106"/>
      <c r="J45" s="101"/>
      <c r="K45" s="101"/>
      <c r="L45" s="101" t="s">
        <v>215</v>
      </c>
      <c r="M45" s="91"/>
      <c r="N45" s="91"/>
      <c r="O45" s="91"/>
      <c r="P45" s="91"/>
      <c r="Q45" s="91"/>
      <c r="R45" s="91"/>
      <c r="S45" s="91"/>
      <c r="T45" s="91"/>
      <c r="U45" s="91"/>
      <c r="V45" s="91"/>
      <c r="W45" s="91"/>
      <c r="X45" s="91"/>
      <c r="Y45" s="91"/>
      <c r="Z45" s="91"/>
    </row>
    <row r="46" ht="72.0" customHeight="1">
      <c r="A46" s="96">
        <v>1.0</v>
      </c>
      <c r="B46" s="101" t="s">
        <v>376</v>
      </c>
      <c r="C46" s="101" t="s">
        <v>84</v>
      </c>
      <c r="D46" s="101" t="s">
        <v>377</v>
      </c>
      <c r="E46" s="101"/>
      <c r="F46" s="102" t="s">
        <v>378</v>
      </c>
      <c r="G46" s="102" t="s">
        <v>379</v>
      </c>
      <c r="H46" s="103" t="s">
        <v>380</v>
      </c>
      <c r="I46" s="101"/>
      <c r="J46" s="101"/>
      <c r="K46" s="106"/>
      <c r="L46" s="101" t="s">
        <v>215</v>
      </c>
      <c r="M46" s="91"/>
      <c r="N46" s="91"/>
      <c r="O46" s="91"/>
      <c r="P46" s="91"/>
      <c r="Q46" s="91"/>
      <c r="R46" s="91"/>
      <c r="S46" s="91"/>
      <c r="T46" s="91"/>
      <c r="U46" s="91"/>
      <c r="V46" s="91"/>
      <c r="W46" s="91"/>
      <c r="X46" s="91"/>
      <c r="Y46" s="91"/>
      <c r="Z46" s="91"/>
    </row>
    <row r="47" ht="72.0" customHeight="1">
      <c r="A47" s="96">
        <v>3.0</v>
      </c>
      <c r="B47" s="101" t="s">
        <v>381</v>
      </c>
      <c r="C47" s="101" t="s">
        <v>84</v>
      </c>
      <c r="D47" s="101" t="s">
        <v>382</v>
      </c>
      <c r="E47" s="101"/>
      <c r="F47" s="101"/>
      <c r="G47" s="104" t="s">
        <v>383</v>
      </c>
      <c r="H47" s="103" t="s">
        <v>384</v>
      </c>
      <c r="I47" s="101"/>
      <c r="J47" s="101"/>
      <c r="K47" s="106"/>
      <c r="L47" s="103" t="s">
        <v>215</v>
      </c>
      <c r="M47" s="91"/>
      <c r="N47" s="91"/>
      <c r="O47" s="91"/>
      <c r="P47" s="91"/>
      <c r="Q47" s="91"/>
      <c r="R47" s="91"/>
      <c r="S47" s="91"/>
      <c r="T47" s="91"/>
      <c r="U47" s="91"/>
      <c r="V47" s="91"/>
      <c r="W47" s="91"/>
      <c r="X47" s="91"/>
      <c r="Y47" s="91"/>
      <c r="Z47" s="91"/>
    </row>
    <row r="48" ht="72.0" customHeight="1">
      <c r="A48" s="96"/>
      <c r="B48" s="109" t="s">
        <v>85</v>
      </c>
      <c r="C48" s="25"/>
      <c r="D48" s="25"/>
      <c r="E48" s="25"/>
      <c r="F48" s="25"/>
      <c r="G48" s="25"/>
      <c r="H48" s="25"/>
      <c r="I48" s="25"/>
      <c r="J48" s="25"/>
      <c r="K48" s="26"/>
      <c r="L48" s="110"/>
      <c r="M48" s="91"/>
      <c r="N48" s="91"/>
      <c r="O48" s="91"/>
      <c r="P48" s="91"/>
      <c r="Q48" s="91"/>
      <c r="R48" s="91"/>
      <c r="S48" s="91"/>
      <c r="T48" s="91"/>
      <c r="U48" s="91"/>
      <c r="V48" s="91"/>
      <c r="W48" s="91"/>
      <c r="X48" s="91"/>
      <c r="Y48" s="91"/>
      <c r="Z48" s="91"/>
    </row>
    <row r="49" ht="72.0" customHeight="1">
      <c r="A49" s="96"/>
      <c r="B49" s="111" t="s">
        <v>385</v>
      </c>
      <c r="C49" s="25"/>
      <c r="D49" s="25"/>
      <c r="E49" s="25"/>
      <c r="F49" s="25"/>
      <c r="G49" s="25"/>
      <c r="H49" s="25"/>
      <c r="I49" s="25"/>
      <c r="J49" s="25"/>
      <c r="K49" s="26"/>
      <c r="L49" s="104"/>
      <c r="M49" s="91"/>
      <c r="N49" s="91"/>
      <c r="O49" s="91"/>
      <c r="P49" s="91"/>
      <c r="Q49" s="91"/>
      <c r="R49" s="91"/>
      <c r="S49" s="91"/>
      <c r="T49" s="91"/>
      <c r="U49" s="91"/>
      <c r="V49" s="91"/>
      <c r="W49" s="91"/>
      <c r="X49" s="91"/>
      <c r="Y49" s="91"/>
      <c r="Z49" s="91"/>
    </row>
    <row r="50" ht="72.0" customHeight="1">
      <c r="A50" s="96"/>
      <c r="B50" s="101" t="s">
        <v>386</v>
      </c>
      <c r="C50" s="101" t="s">
        <v>387</v>
      </c>
      <c r="D50" s="101" t="s">
        <v>388</v>
      </c>
      <c r="E50" s="101"/>
      <c r="F50" s="102" t="s">
        <v>389</v>
      </c>
      <c r="G50" s="102" t="s">
        <v>390</v>
      </c>
      <c r="H50" s="103" t="s">
        <v>391</v>
      </c>
      <c r="I50" s="101"/>
      <c r="J50" s="101"/>
      <c r="K50" s="101"/>
      <c r="L50" s="101" t="s">
        <v>215</v>
      </c>
      <c r="M50" s="91"/>
      <c r="N50" s="91"/>
      <c r="O50" s="91"/>
      <c r="P50" s="91"/>
      <c r="Q50" s="91"/>
      <c r="R50" s="91"/>
      <c r="S50" s="91"/>
      <c r="T50" s="91"/>
      <c r="U50" s="91"/>
      <c r="V50" s="91"/>
      <c r="W50" s="91"/>
      <c r="X50" s="91"/>
      <c r="Y50" s="91"/>
      <c r="Z50" s="91"/>
    </row>
    <row r="51" ht="72.0" customHeight="1">
      <c r="A51" s="96"/>
      <c r="B51" s="101" t="s">
        <v>392</v>
      </c>
      <c r="C51" s="101" t="s">
        <v>387</v>
      </c>
      <c r="D51" s="101" t="s">
        <v>393</v>
      </c>
      <c r="E51" s="101"/>
      <c r="F51" s="102" t="s">
        <v>394</v>
      </c>
      <c r="G51" s="102" t="s">
        <v>395</v>
      </c>
      <c r="H51" s="103" t="s">
        <v>396</v>
      </c>
      <c r="I51" s="101"/>
      <c r="J51" s="101"/>
      <c r="K51" s="101"/>
      <c r="L51" s="101" t="s">
        <v>215</v>
      </c>
      <c r="M51" s="91"/>
      <c r="N51" s="91"/>
      <c r="O51" s="91"/>
      <c r="P51" s="91"/>
      <c r="Q51" s="91"/>
      <c r="R51" s="91"/>
      <c r="S51" s="91"/>
      <c r="T51" s="91"/>
      <c r="U51" s="91"/>
      <c r="V51" s="91"/>
      <c r="W51" s="91"/>
      <c r="X51" s="91"/>
      <c r="Y51" s="91"/>
      <c r="Z51" s="91"/>
    </row>
    <row r="52" ht="72.0" customHeight="1">
      <c r="A52" s="96"/>
      <c r="B52" s="101" t="s">
        <v>397</v>
      </c>
      <c r="C52" s="101" t="s">
        <v>387</v>
      </c>
      <c r="D52" s="101" t="s">
        <v>398</v>
      </c>
      <c r="E52" s="101"/>
      <c r="F52" s="102" t="s">
        <v>399</v>
      </c>
      <c r="G52" s="102" t="s">
        <v>400</v>
      </c>
      <c r="H52" s="103" t="s">
        <v>401</v>
      </c>
      <c r="I52" s="101"/>
      <c r="J52" s="101"/>
      <c r="K52" s="101"/>
      <c r="L52" s="101" t="s">
        <v>215</v>
      </c>
      <c r="M52" s="91"/>
      <c r="N52" s="91"/>
      <c r="O52" s="91"/>
      <c r="P52" s="91"/>
      <c r="Q52" s="91"/>
      <c r="R52" s="91"/>
      <c r="S52" s="91"/>
      <c r="T52" s="91"/>
      <c r="U52" s="91"/>
      <c r="V52" s="91"/>
      <c r="W52" s="91"/>
      <c r="X52" s="91"/>
      <c r="Y52" s="91"/>
      <c r="Z52" s="91"/>
    </row>
    <row r="53" ht="72.0" customHeight="1">
      <c r="A53" s="96">
        <v>2.0</v>
      </c>
      <c r="B53" s="101" t="s">
        <v>402</v>
      </c>
      <c r="C53" s="101" t="s">
        <v>387</v>
      </c>
      <c r="D53" s="101" t="s">
        <v>403</v>
      </c>
      <c r="E53" s="101"/>
      <c r="F53" s="101"/>
      <c r="G53" s="104" t="s">
        <v>404</v>
      </c>
      <c r="H53" s="103" t="s">
        <v>405</v>
      </c>
      <c r="I53" s="103" t="s">
        <v>406</v>
      </c>
      <c r="J53" s="101"/>
      <c r="K53" s="103" t="s">
        <v>407</v>
      </c>
      <c r="L53" s="103" t="s">
        <v>215</v>
      </c>
      <c r="M53" s="91"/>
      <c r="N53" s="91"/>
      <c r="O53" s="91"/>
      <c r="P53" s="91"/>
      <c r="Q53" s="91"/>
      <c r="R53" s="91"/>
      <c r="S53" s="91"/>
      <c r="T53" s="91"/>
      <c r="U53" s="91"/>
      <c r="V53" s="91"/>
      <c r="W53" s="91"/>
      <c r="X53" s="91"/>
      <c r="Y53" s="91"/>
      <c r="Z53" s="91"/>
    </row>
    <row r="54" ht="72.0" customHeight="1">
      <c r="A54" s="96">
        <v>3.0</v>
      </c>
      <c r="B54" s="101" t="s">
        <v>408</v>
      </c>
      <c r="C54" s="101" t="s">
        <v>387</v>
      </c>
      <c r="D54" s="103" t="s">
        <v>409</v>
      </c>
      <c r="E54" s="101"/>
      <c r="F54" s="101"/>
      <c r="G54" s="104" t="s">
        <v>410</v>
      </c>
      <c r="H54" s="103" t="s">
        <v>411</v>
      </c>
      <c r="I54" s="101"/>
      <c r="J54" s="101"/>
      <c r="K54" s="101"/>
      <c r="L54" s="103" t="s">
        <v>215</v>
      </c>
      <c r="M54" s="91"/>
      <c r="N54" s="91"/>
      <c r="O54" s="91"/>
      <c r="P54" s="91"/>
      <c r="Q54" s="91"/>
      <c r="R54" s="91"/>
      <c r="S54" s="91"/>
      <c r="T54" s="91"/>
      <c r="U54" s="91"/>
      <c r="V54" s="91"/>
      <c r="W54" s="91"/>
      <c r="X54" s="91"/>
      <c r="Y54" s="91"/>
      <c r="Z54" s="91"/>
    </row>
    <row r="55" ht="72.0" customHeight="1">
      <c r="A55" s="96"/>
      <c r="B55" s="101" t="s">
        <v>412</v>
      </c>
      <c r="C55" s="101" t="s">
        <v>87</v>
      </c>
      <c r="D55" s="101" t="s">
        <v>413</v>
      </c>
      <c r="E55" s="101"/>
      <c r="F55" s="102" t="s">
        <v>414</v>
      </c>
      <c r="G55" s="102" t="s">
        <v>415</v>
      </c>
      <c r="H55" s="103" t="s">
        <v>416</v>
      </c>
      <c r="I55" s="101"/>
      <c r="J55" s="101"/>
      <c r="K55" s="101"/>
      <c r="L55" s="101" t="s">
        <v>215</v>
      </c>
      <c r="M55" s="91"/>
      <c r="N55" s="91"/>
      <c r="O55" s="91"/>
      <c r="P55" s="91"/>
      <c r="Q55" s="91"/>
      <c r="R55" s="91"/>
      <c r="S55" s="91"/>
      <c r="T55" s="91"/>
      <c r="U55" s="91"/>
      <c r="V55" s="91"/>
      <c r="W55" s="91"/>
      <c r="X55" s="91"/>
      <c r="Y55" s="91"/>
      <c r="Z55" s="91"/>
    </row>
    <row r="56" ht="72.0" customHeight="1">
      <c r="A56" s="96"/>
      <c r="B56" s="101" t="s">
        <v>417</v>
      </c>
      <c r="C56" s="101" t="s">
        <v>87</v>
      </c>
      <c r="D56" s="101" t="s">
        <v>418</v>
      </c>
      <c r="E56" s="101"/>
      <c r="F56" s="102" t="s">
        <v>419</v>
      </c>
      <c r="G56" s="102" t="s">
        <v>420</v>
      </c>
      <c r="H56" s="103" t="s">
        <v>421</v>
      </c>
      <c r="I56" s="106"/>
      <c r="J56" s="101"/>
      <c r="K56" s="106"/>
      <c r="L56" s="101" t="s">
        <v>215</v>
      </c>
      <c r="M56" s="91"/>
      <c r="N56" s="91"/>
      <c r="O56" s="91"/>
      <c r="P56" s="91"/>
      <c r="Q56" s="91"/>
      <c r="R56" s="91"/>
      <c r="S56" s="91"/>
      <c r="T56" s="91"/>
      <c r="U56" s="91"/>
      <c r="V56" s="91"/>
      <c r="W56" s="91"/>
      <c r="X56" s="91"/>
      <c r="Y56" s="91"/>
      <c r="Z56" s="91"/>
    </row>
    <row r="57" ht="72.0" customHeight="1">
      <c r="A57" s="96"/>
      <c r="B57" s="101" t="s">
        <v>422</v>
      </c>
      <c r="C57" s="101" t="s">
        <v>87</v>
      </c>
      <c r="D57" s="101" t="s">
        <v>423</v>
      </c>
      <c r="E57" s="101"/>
      <c r="F57" s="101"/>
      <c r="G57" s="101"/>
      <c r="H57" s="103" t="s">
        <v>424</v>
      </c>
      <c r="I57" s="101"/>
      <c r="J57" s="101"/>
      <c r="K57" s="101"/>
      <c r="L57" s="103" t="s">
        <v>215</v>
      </c>
      <c r="M57" s="91"/>
      <c r="N57" s="91"/>
      <c r="O57" s="91"/>
      <c r="P57" s="91"/>
      <c r="Q57" s="91"/>
      <c r="R57" s="91"/>
      <c r="S57" s="91"/>
      <c r="T57" s="91"/>
      <c r="U57" s="91"/>
      <c r="V57" s="91"/>
      <c r="W57" s="91"/>
      <c r="X57" s="91"/>
      <c r="Y57" s="91"/>
      <c r="Z57" s="91"/>
    </row>
    <row r="58" ht="72.0" customHeight="1">
      <c r="A58" s="96"/>
      <c r="B58" s="101" t="s">
        <v>425</v>
      </c>
      <c r="C58" s="101" t="s">
        <v>426</v>
      </c>
      <c r="D58" s="101" t="s">
        <v>427</v>
      </c>
      <c r="E58" s="101"/>
      <c r="F58" s="102" t="s">
        <v>428</v>
      </c>
      <c r="G58" s="102" t="s">
        <v>429</v>
      </c>
      <c r="H58" s="112" t="s">
        <v>430</v>
      </c>
      <c r="I58" s="101"/>
      <c r="J58" s="101"/>
      <c r="K58" s="101"/>
      <c r="L58" s="101" t="s">
        <v>90</v>
      </c>
      <c r="M58" s="91"/>
      <c r="N58" s="91"/>
      <c r="O58" s="91"/>
      <c r="P58" s="91"/>
      <c r="Q58" s="91"/>
      <c r="R58" s="91"/>
      <c r="S58" s="91"/>
      <c r="T58" s="91"/>
      <c r="U58" s="91"/>
      <c r="V58" s="91"/>
      <c r="W58" s="91"/>
      <c r="X58" s="91"/>
      <c r="Y58" s="91"/>
      <c r="Z58" s="91"/>
    </row>
    <row r="59" ht="72.0" customHeight="1">
      <c r="A59" s="96"/>
      <c r="B59" s="101" t="s">
        <v>431</v>
      </c>
      <c r="C59" s="101" t="s">
        <v>426</v>
      </c>
      <c r="D59" s="101" t="s">
        <v>432</v>
      </c>
      <c r="E59" s="101"/>
      <c r="F59" s="102" t="s">
        <v>433</v>
      </c>
      <c r="G59" s="102" t="s">
        <v>434</v>
      </c>
      <c r="H59" s="113"/>
      <c r="I59" s="101"/>
      <c r="J59" s="101"/>
      <c r="K59" s="101"/>
      <c r="L59" s="101" t="s">
        <v>90</v>
      </c>
      <c r="M59" s="91"/>
      <c r="N59" s="91"/>
      <c r="O59" s="91"/>
      <c r="P59" s="91"/>
      <c r="Q59" s="91"/>
      <c r="R59" s="91"/>
      <c r="S59" s="91"/>
      <c r="T59" s="91"/>
      <c r="U59" s="91"/>
      <c r="V59" s="91"/>
      <c r="W59" s="91"/>
      <c r="X59" s="91"/>
      <c r="Y59" s="91"/>
      <c r="Z59" s="91"/>
    </row>
    <row r="60" ht="72.0" customHeight="1">
      <c r="A60" s="96"/>
      <c r="B60" s="101" t="s">
        <v>435</v>
      </c>
      <c r="C60" s="101" t="s">
        <v>426</v>
      </c>
      <c r="D60" s="101" t="s">
        <v>436</v>
      </c>
      <c r="E60" s="101"/>
      <c r="F60" s="102" t="s">
        <v>437</v>
      </c>
      <c r="G60" s="102" t="s">
        <v>438</v>
      </c>
      <c r="H60" s="114"/>
      <c r="I60" s="101"/>
      <c r="J60" s="101"/>
      <c r="K60" s="101"/>
      <c r="L60" s="101" t="s">
        <v>90</v>
      </c>
      <c r="M60" s="91"/>
      <c r="N60" s="91"/>
      <c r="O60" s="91"/>
      <c r="P60" s="91"/>
      <c r="Q60" s="91"/>
      <c r="R60" s="91"/>
      <c r="S60" s="91"/>
      <c r="T60" s="91"/>
      <c r="U60" s="91"/>
      <c r="V60" s="91"/>
      <c r="W60" s="91"/>
      <c r="X60" s="91"/>
      <c r="Y60" s="91"/>
      <c r="Z60" s="91"/>
    </row>
    <row r="61" ht="72.0" customHeight="1">
      <c r="A61" s="96">
        <v>2.0</v>
      </c>
      <c r="B61" s="101" t="s">
        <v>439</v>
      </c>
      <c r="C61" s="101" t="s">
        <v>426</v>
      </c>
      <c r="D61" s="101" t="s">
        <v>440</v>
      </c>
      <c r="E61" s="101"/>
      <c r="F61" s="101"/>
      <c r="G61" s="104" t="s">
        <v>441</v>
      </c>
      <c r="H61" s="101"/>
      <c r="I61" s="101"/>
      <c r="J61" s="101"/>
      <c r="K61" s="101"/>
      <c r="L61" s="103" t="s">
        <v>90</v>
      </c>
      <c r="M61" s="91"/>
      <c r="N61" s="91"/>
      <c r="O61" s="91"/>
      <c r="P61" s="91"/>
      <c r="Q61" s="91"/>
      <c r="R61" s="91"/>
      <c r="S61" s="91"/>
      <c r="T61" s="91"/>
      <c r="U61" s="91"/>
      <c r="V61" s="91"/>
      <c r="W61" s="91"/>
      <c r="X61" s="91"/>
      <c r="Y61" s="91"/>
      <c r="Z61" s="91"/>
    </row>
    <row r="62" ht="72.0" customHeight="1">
      <c r="A62" s="96">
        <v>3.0</v>
      </c>
      <c r="B62" s="101" t="s">
        <v>442</v>
      </c>
      <c r="C62" s="101" t="s">
        <v>426</v>
      </c>
      <c r="D62" s="101" t="s">
        <v>443</v>
      </c>
      <c r="E62" s="101"/>
      <c r="F62" s="101"/>
      <c r="G62" s="104" t="s">
        <v>444</v>
      </c>
      <c r="H62" s="101"/>
      <c r="I62" s="101"/>
      <c r="J62" s="101"/>
      <c r="K62" s="101"/>
      <c r="L62" s="103" t="s">
        <v>90</v>
      </c>
      <c r="M62" s="91"/>
      <c r="N62" s="91"/>
      <c r="O62" s="91"/>
      <c r="P62" s="91"/>
      <c r="Q62" s="91"/>
      <c r="R62" s="91"/>
      <c r="S62" s="91"/>
      <c r="T62" s="91"/>
      <c r="U62" s="91"/>
      <c r="V62" s="91"/>
      <c r="W62" s="91"/>
      <c r="X62" s="91"/>
      <c r="Y62" s="91"/>
      <c r="Z62" s="91"/>
    </row>
    <row r="63" ht="72.0" customHeight="1">
      <c r="A63" s="96"/>
      <c r="B63" s="101" t="s">
        <v>445</v>
      </c>
      <c r="C63" s="101" t="s">
        <v>91</v>
      </c>
      <c r="D63" s="101" t="s">
        <v>446</v>
      </c>
      <c r="E63" s="101"/>
      <c r="F63" s="102" t="s">
        <v>447</v>
      </c>
      <c r="G63" s="102" t="s">
        <v>448</v>
      </c>
      <c r="H63" s="103" t="s">
        <v>449</v>
      </c>
      <c r="I63" s="101"/>
      <c r="J63" s="101"/>
      <c r="K63" s="101"/>
      <c r="L63" s="101" t="s">
        <v>215</v>
      </c>
      <c r="M63" s="91"/>
      <c r="N63" s="91"/>
      <c r="O63" s="91"/>
      <c r="P63" s="91"/>
      <c r="Q63" s="91"/>
      <c r="R63" s="91"/>
      <c r="S63" s="91"/>
      <c r="T63" s="91"/>
      <c r="U63" s="91"/>
      <c r="V63" s="91"/>
      <c r="W63" s="91"/>
      <c r="X63" s="91"/>
      <c r="Y63" s="91"/>
      <c r="Z63" s="91"/>
    </row>
    <row r="64" ht="72.0" customHeight="1">
      <c r="A64" s="96"/>
      <c r="B64" s="101" t="s">
        <v>450</v>
      </c>
      <c r="C64" s="101" t="s">
        <v>91</v>
      </c>
      <c r="D64" s="101" t="s">
        <v>451</v>
      </c>
      <c r="E64" s="101"/>
      <c r="F64" s="102" t="s">
        <v>452</v>
      </c>
      <c r="G64" s="102" t="s">
        <v>453</v>
      </c>
      <c r="H64" s="103" t="s">
        <v>454</v>
      </c>
      <c r="I64" s="101"/>
      <c r="J64" s="101"/>
      <c r="K64" s="101"/>
      <c r="L64" s="101" t="s">
        <v>215</v>
      </c>
      <c r="M64" s="91"/>
      <c r="N64" s="91"/>
      <c r="O64" s="91"/>
      <c r="P64" s="91"/>
      <c r="Q64" s="91"/>
      <c r="R64" s="91"/>
      <c r="S64" s="91"/>
      <c r="T64" s="91"/>
      <c r="U64" s="91"/>
      <c r="V64" s="91"/>
      <c r="W64" s="91"/>
      <c r="X64" s="91"/>
      <c r="Y64" s="91"/>
      <c r="Z64" s="91"/>
    </row>
    <row r="65" ht="72.0" customHeight="1">
      <c r="A65" s="96">
        <v>3.0</v>
      </c>
      <c r="B65" s="101" t="s">
        <v>455</v>
      </c>
      <c r="C65" s="101" t="s">
        <v>91</v>
      </c>
      <c r="D65" s="101" t="s">
        <v>456</v>
      </c>
      <c r="E65" s="101"/>
      <c r="F65" s="101"/>
      <c r="G65" s="104" t="s">
        <v>457</v>
      </c>
      <c r="H65" s="103" t="s">
        <v>458</v>
      </c>
      <c r="I65" s="101"/>
      <c r="J65" s="101"/>
      <c r="K65" s="101"/>
      <c r="L65" s="103" t="s">
        <v>215</v>
      </c>
      <c r="M65" s="91"/>
      <c r="N65" s="91"/>
      <c r="O65" s="91"/>
      <c r="P65" s="91"/>
      <c r="Q65" s="91"/>
      <c r="R65" s="91"/>
      <c r="S65" s="91"/>
      <c r="T65" s="91"/>
      <c r="U65" s="91"/>
      <c r="V65" s="91"/>
      <c r="W65" s="91"/>
      <c r="X65" s="91"/>
      <c r="Y65" s="91"/>
      <c r="Z65" s="91"/>
    </row>
    <row r="66" ht="72.0" customHeight="1">
      <c r="A66" s="96">
        <v>2.0</v>
      </c>
      <c r="B66" s="101" t="s">
        <v>459</v>
      </c>
      <c r="C66" s="101" t="s">
        <v>92</v>
      </c>
      <c r="D66" s="101" t="s">
        <v>460</v>
      </c>
      <c r="E66" s="101"/>
      <c r="F66" s="101"/>
      <c r="G66" s="104" t="s">
        <v>461</v>
      </c>
      <c r="H66" s="103" t="s">
        <v>462</v>
      </c>
      <c r="I66" s="103" t="s">
        <v>463</v>
      </c>
      <c r="J66" s="101"/>
      <c r="K66" s="103" t="s">
        <v>464</v>
      </c>
      <c r="L66" s="103" t="s">
        <v>215</v>
      </c>
      <c r="M66" s="91"/>
      <c r="N66" s="91"/>
      <c r="O66" s="91"/>
      <c r="P66" s="91"/>
      <c r="Q66" s="91"/>
      <c r="R66" s="91"/>
      <c r="S66" s="91"/>
      <c r="T66" s="91"/>
      <c r="U66" s="91"/>
      <c r="V66" s="91"/>
      <c r="W66" s="91"/>
      <c r="X66" s="91"/>
      <c r="Y66" s="91"/>
      <c r="Z66" s="91"/>
    </row>
    <row r="67" ht="72.0" customHeight="1">
      <c r="A67" s="96">
        <v>2.0</v>
      </c>
      <c r="B67" s="101" t="s">
        <v>465</v>
      </c>
      <c r="C67" s="101" t="s">
        <v>92</v>
      </c>
      <c r="D67" s="101" t="s">
        <v>466</v>
      </c>
      <c r="E67" s="101"/>
      <c r="F67" s="101"/>
      <c r="G67" s="104" t="s">
        <v>467</v>
      </c>
      <c r="H67" s="103" t="s">
        <v>468</v>
      </c>
      <c r="I67" s="101"/>
      <c r="J67" s="101"/>
      <c r="K67" s="101"/>
      <c r="L67" s="103" t="s">
        <v>215</v>
      </c>
      <c r="M67" s="91"/>
      <c r="N67" s="91"/>
      <c r="O67" s="91"/>
      <c r="P67" s="91"/>
      <c r="Q67" s="91"/>
      <c r="R67" s="91"/>
      <c r="S67" s="91"/>
      <c r="T67" s="91"/>
      <c r="U67" s="91"/>
      <c r="V67" s="91"/>
      <c r="W67" s="91"/>
      <c r="X67" s="91"/>
      <c r="Y67" s="91"/>
      <c r="Z67" s="91"/>
    </row>
    <row r="68" ht="72.0" customHeight="1">
      <c r="A68" s="96">
        <v>2.0</v>
      </c>
      <c r="B68" s="101" t="s">
        <v>469</v>
      </c>
      <c r="C68" s="101" t="s">
        <v>92</v>
      </c>
      <c r="D68" s="101" t="s">
        <v>470</v>
      </c>
      <c r="E68" s="101"/>
      <c r="F68" s="101"/>
      <c r="G68" s="104" t="s">
        <v>471</v>
      </c>
      <c r="H68" s="103" t="s">
        <v>472</v>
      </c>
      <c r="I68" s="101"/>
      <c r="J68" s="101"/>
      <c r="K68" s="101"/>
      <c r="L68" s="103" t="s">
        <v>215</v>
      </c>
      <c r="M68" s="91"/>
      <c r="N68" s="91"/>
      <c r="O68" s="91"/>
      <c r="P68" s="91"/>
      <c r="Q68" s="91"/>
      <c r="R68" s="91"/>
      <c r="S68" s="91"/>
      <c r="T68" s="91"/>
      <c r="U68" s="91"/>
      <c r="V68" s="91"/>
      <c r="W68" s="91"/>
      <c r="X68" s="91"/>
      <c r="Y68" s="91"/>
      <c r="Z68" s="91"/>
    </row>
    <row r="69" ht="72.0" customHeight="1">
      <c r="A69" s="96">
        <v>2.0</v>
      </c>
      <c r="B69" s="101" t="s">
        <v>473</v>
      </c>
      <c r="C69" s="101" t="s">
        <v>92</v>
      </c>
      <c r="D69" s="103" t="s">
        <v>474</v>
      </c>
      <c r="E69" s="101"/>
      <c r="F69" s="101"/>
      <c r="G69" s="104" t="s">
        <v>475</v>
      </c>
      <c r="H69" s="103" t="s">
        <v>476</v>
      </c>
      <c r="I69" s="101"/>
      <c r="J69" s="101"/>
      <c r="K69" s="101"/>
      <c r="L69" s="103" t="s">
        <v>215</v>
      </c>
      <c r="M69" s="91"/>
      <c r="N69" s="91"/>
      <c r="O69" s="91"/>
      <c r="P69" s="91"/>
      <c r="Q69" s="91"/>
      <c r="R69" s="91"/>
      <c r="S69" s="91"/>
      <c r="T69" s="91"/>
      <c r="U69" s="91"/>
      <c r="V69" s="91"/>
      <c r="W69" s="91"/>
      <c r="X69" s="91"/>
      <c r="Y69" s="91"/>
      <c r="Z69" s="91"/>
    </row>
    <row r="70" ht="72.0" customHeight="1">
      <c r="A70" s="96">
        <v>3.0</v>
      </c>
      <c r="B70" s="101" t="s">
        <v>477</v>
      </c>
      <c r="C70" s="101" t="s">
        <v>92</v>
      </c>
      <c r="D70" s="101" t="s">
        <v>478</v>
      </c>
      <c r="E70" s="101"/>
      <c r="F70" s="101"/>
      <c r="G70" s="104" t="s">
        <v>479</v>
      </c>
      <c r="H70" s="103" t="s">
        <v>480</v>
      </c>
      <c r="I70" s="101"/>
      <c r="J70" s="101"/>
      <c r="K70" s="101"/>
      <c r="L70" s="103" t="s">
        <v>215</v>
      </c>
      <c r="M70" s="91"/>
      <c r="N70" s="91"/>
      <c r="O70" s="91"/>
      <c r="P70" s="91"/>
      <c r="Q70" s="91"/>
      <c r="R70" s="91"/>
      <c r="S70" s="91"/>
      <c r="T70" s="91"/>
      <c r="U70" s="91"/>
      <c r="V70" s="91"/>
      <c r="W70" s="91"/>
      <c r="X70" s="91"/>
      <c r="Y70" s="91"/>
      <c r="Z70" s="91"/>
    </row>
    <row r="71" ht="72.0" customHeight="1">
      <c r="A71" s="96"/>
      <c r="B71" s="101" t="s">
        <v>481</v>
      </c>
      <c r="C71" s="101" t="s">
        <v>93</v>
      </c>
      <c r="D71" s="101" t="s">
        <v>482</v>
      </c>
      <c r="E71" s="101"/>
      <c r="F71" s="102" t="s">
        <v>483</v>
      </c>
      <c r="G71" s="102" t="s">
        <v>484</v>
      </c>
      <c r="H71" s="103" t="s">
        <v>485</v>
      </c>
      <c r="I71" s="101"/>
      <c r="J71" s="101"/>
      <c r="K71" s="101"/>
      <c r="L71" s="101" t="s">
        <v>215</v>
      </c>
      <c r="M71" s="91"/>
      <c r="N71" s="91"/>
      <c r="O71" s="91"/>
      <c r="P71" s="91"/>
      <c r="Q71" s="91"/>
      <c r="R71" s="91"/>
      <c r="S71" s="91"/>
      <c r="T71" s="91"/>
      <c r="U71" s="91"/>
      <c r="V71" s="91"/>
      <c r="W71" s="91"/>
      <c r="X71" s="91"/>
      <c r="Y71" s="91"/>
      <c r="Z71" s="91"/>
    </row>
    <row r="72" ht="72.0" customHeight="1">
      <c r="A72" s="96"/>
      <c r="B72" s="101" t="s">
        <v>486</v>
      </c>
      <c r="C72" s="101" t="s">
        <v>93</v>
      </c>
      <c r="D72" s="101" t="s">
        <v>487</v>
      </c>
      <c r="E72" s="101"/>
      <c r="F72" s="102" t="s">
        <v>488</v>
      </c>
      <c r="G72" s="102" t="s">
        <v>489</v>
      </c>
      <c r="H72" s="103" t="s">
        <v>490</v>
      </c>
      <c r="I72" s="101"/>
      <c r="J72" s="101"/>
      <c r="K72" s="101"/>
      <c r="L72" s="101" t="s">
        <v>215</v>
      </c>
      <c r="M72" s="91"/>
      <c r="N72" s="91"/>
      <c r="O72" s="91"/>
      <c r="P72" s="91"/>
      <c r="Q72" s="91"/>
      <c r="R72" s="91"/>
      <c r="S72" s="91"/>
      <c r="T72" s="91"/>
      <c r="U72" s="91"/>
      <c r="V72" s="91"/>
      <c r="W72" s="91"/>
      <c r="X72" s="91"/>
      <c r="Y72" s="91"/>
      <c r="Z72" s="91"/>
    </row>
    <row r="73" ht="72.0" customHeight="1">
      <c r="A73" s="96">
        <v>3.0</v>
      </c>
      <c r="B73" s="101" t="s">
        <v>491</v>
      </c>
      <c r="C73" s="101" t="s">
        <v>93</v>
      </c>
      <c r="D73" s="101" t="s">
        <v>492</v>
      </c>
      <c r="E73" s="101"/>
      <c r="F73" s="101"/>
      <c r="G73" s="104" t="s">
        <v>493</v>
      </c>
      <c r="H73" s="103" t="s">
        <v>494</v>
      </c>
      <c r="I73" s="103" t="s">
        <v>495</v>
      </c>
      <c r="J73" s="101"/>
      <c r="K73" s="101"/>
      <c r="L73" s="103" t="s">
        <v>215</v>
      </c>
      <c r="M73" s="91"/>
      <c r="N73" s="91"/>
      <c r="O73" s="91"/>
      <c r="P73" s="91"/>
      <c r="Q73" s="91"/>
      <c r="R73" s="91"/>
      <c r="S73" s="91"/>
      <c r="T73" s="91"/>
      <c r="U73" s="91"/>
      <c r="V73" s="91"/>
      <c r="W73" s="91"/>
      <c r="X73" s="91"/>
      <c r="Y73" s="91"/>
      <c r="Z73" s="91"/>
    </row>
    <row r="74" ht="72.0" customHeight="1">
      <c r="A74" s="96"/>
      <c r="B74" s="115" t="s">
        <v>94</v>
      </c>
      <c r="C74" s="25"/>
      <c r="D74" s="25"/>
      <c r="E74" s="25"/>
      <c r="F74" s="25"/>
      <c r="G74" s="25"/>
      <c r="H74" s="25"/>
      <c r="I74" s="25"/>
      <c r="J74" s="25"/>
      <c r="K74" s="26"/>
      <c r="L74" s="98"/>
      <c r="M74" s="91"/>
      <c r="N74" s="91"/>
      <c r="O74" s="91"/>
      <c r="P74" s="91"/>
      <c r="Q74" s="91"/>
      <c r="R74" s="91"/>
      <c r="S74" s="91"/>
      <c r="T74" s="91"/>
      <c r="U74" s="91"/>
      <c r="V74" s="91"/>
      <c r="W74" s="91"/>
      <c r="X74" s="91"/>
      <c r="Y74" s="91"/>
      <c r="Z74" s="91"/>
    </row>
    <row r="75" ht="72.0" customHeight="1">
      <c r="A75" s="96"/>
      <c r="B75" s="99" t="s">
        <v>496</v>
      </c>
      <c r="C75" s="25"/>
      <c r="D75" s="25"/>
      <c r="E75" s="25"/>
      <c r="F75" s="25"/>
      <c r="G75" s="25"/>
      <c r="H75" s="25"/>
      <c r="I75" s="25"/>
      <c r="J75" s="25"/>
      <c r="K75" s="26"/>
      <c r="L75" s="100"/>
      <c r="M75" s="91"/>
      <c r="N75" s="91"/>
      <c r="O75" s="91"/>
      <c r="P75" s="91"/>
      <c r="Q75" s="91"/>
      <c r="R75" s="91"/>
      <c r="S75" s="91"/>
      <c r="T75" s="91"/>
      <c r="U75" s="91"/>
      <c r="V75" s="91"/>
      <c r="W75" s="91"/>
      <c r="X75" s="91"/>
      <c r="Y75" s="91"/>
      <c r="Z75" s="91"/>
    </row>
    <row r="76" ht="72.0" customHeight="1">
      <c r="A76" s="96"/>
      <c r="B76" s="101" t="s">
        <v>497</v>
      </c>
      <c r="C76" s="101" t="s">
        <v>95</v>
      </c>
      <c r="D76" s="101" t="s">
        <v>498</v>
      </c>
      <c r="E76" s="101"/>
      <c r="F76" s="102" t="s">
        <v>499</v>
      </c>
      <c r="G76" s="101" t="s">
        <v>500</v>
      </c>
      <c r="H76" s="103" t="s">
        <v>501</v>
      </c>
      <c r="I76" s="106"/>
      <c r="J76" s="101"/>
      <c r="K76" s="106"/>
      <c r="L76" s="101" t="s">
        <v>215</v>
      </c>
      <c r="M76" s="91"/>
      <c r="N76" s="91"/>
      <c r="O76" s="91"/>
      <c r="P76" s="91"/>
      <c r="Q76" s="91"/>
      <c r="R76" s="91"/>
      <c r="S76" s="91"/>
      <c r="T76" s="91"/>
      <c r="U76" s="91"/>
      <c r="V76" s="91"/>
      <c r="W76" s="91"/>
      <c r="X76" s="91"/>
      <c r="Y76" s="91"/>
      <c r="Z76" s="91"/>
    </row>
    <row r="77" ht="72.0" customHeight="1">
      <c r="A77" s="96"/>
      <c r="B77" s="101" t="s">
        <v>502</v>
      </c>
      <c r="C77" s="101" t="s">
        <v>95</v>
      </c>
      <c r="D77" s="101" t="s">
        <v>503</v>
      </c>
      <c r="E77" s="101"/>
      <c r="F77" s="102" t="s">
        <v>504</v>
      </c>
      <c r="G77" s="102" t="s">
        <v>505</v>
      </c>
      <c r="H77" s="103" t="s">
        <v>506</v>
      </c>
      <c r="I77" s="101"/>
      <c r="J77" s="101"/>
      <c r="K77" s="106"/>
      <c r="L77" s="101" t="s">
        <v>215</v>
      </c>
      <c r="M77" s="91"/>
      <c r="N77" s="91"/>
      <c r="O77" s="91"/>
      <c r="P77" s="91"/>
      <c r="Q77" s="91"/>
      <c r="R77" s="91"/>
      <c r="S77" s="91"/>
      <c r="T77" s="91"/>
      <c r="U77" s="91"/>
      <c r="V77" s="91"/>
      <c r="W77" s="91"/>
      <c r="X77" s="91"/>
      <c r="Y77" s="91"/>
      <c r="Z77" s="91"/>
    </row>
    <row r="78" ht="72.0" customHeight="1">
      <c r="A78" s="96">
        <v>2.0</v>
      </c>
      <c r="B78" s="101" t="s">
        <v>507</v>
      </c>
      <c r="C78" s="101" t="s">
        <v>95</v>
      </c>
      <c r="D78" s="101" t="s">
        <v>508</v>
      </c>
      <c r="E78" s="101"/>
      <c r="F78" s="101"/>
      <c r="G78" s="104" t="s">
        <v>509</v>
      </c>
      <c r="H78" s="103" t="s">
        <v>510</v>
      </c>
      <c r="I78" s="101"/>
      <c r="J78" s="101"/>
      <c r="K78" s="106"/>
      <c r="L78" s="103" t="s">
        <v>215</v>
      </c>
      <c r="M78" s="91"/>
      <c r="N78" s="91"/>
      <c r="O78" s="91"/>
      <c r="P78" s="91"/>
      <c r="Q78" s="91"/>
      <c r="R78" s="91"/>
      <c r="S78" s="91"/>
      <c r="T78" s="91"/>
      <c r="U78" s="91"/>
      <c r="V78" s="91"/>
      <c r="W78" s="91"/>
      <c r="X78" s="91"/>
      <c r="Y78" s="91"/>
      <c r="Z78" s="91"/>
    </row>
    <row r="79" ht="72.0" customHeight="1">
      <c r="A79" s="96">
        <v>3.0</v>
      </c>
      <c r="B79" s="101" t="s">
        <v>511</v>
      </c>
      <c r="C79" s="101" t="s">
        <v>95</v>
      </c>
      <c r="D79" s="101" t="s">
        <v>512</v>
      </c>
      <c r="E79" s="101"/>
      <c r="F79" s="101"/>
      <c r="G79" s="104" t="s">
        <v>513</v>
      </c>
      <c r="H79" s="103" t="s">
        <v>514</v>
      </c>
      <c r="I79" s="101"/>
      <c r="J79" s="101"/>
      <c r="K79" s="106"/>
      <c r="L79" s="103" t="s">
        <v>215</v>
      </c>
      <c r="M79" s="91"/>
      <c r="N79" s="91"/>
      <c r="O79" s="91"/>
      <c r="P79" s="91"/>
      <c r="Q79" s="91"/>
      <c r="R79" s="91"/>
      <c r="S79" s="91"/>
      <c r="T79" s="91"/>
      <c r="U79" s="91"/>
      <c r="V79" s="91"/>
      <c r="W79" s="91"/>
      <c r="X79" s="91"/>
      <c r="Y79" s="91"/>
      <c r="Z79" s="91"/>
    </row>
    <row r="80" ht="72.0" customHeight="1">
      <c r="A80" s="96"/>
      <c r="B80" s="101" t="s">
        <v>515</v>
      </c>
      <c r="C80" s="101" t="s">
        <v>516</v>
      </c>
      <c r="D80" s="101" t="s">
        <v>517</v>
      </c>
      <c r="E80" s="101"/>
      <c r="F80" s="102" t="s">
        <v>518</v>
      </c>
      <c r="G80" s="102" t="s">
        <v>519</v>
      </c>
      <c r="H80" s="103" t="s">
        <v>520</v>
      </c>
      <c r="I80" s="101"/>
      <c r="J80" s="101"/>
      <c r="K80" s="106"/>
      <c r="L80" s="101" t="s">
        <v>215</v>
      </c>
      <c r="M80" s="91"/>
      <c r="N80" s="91"/>
      <c r="O80" s="91"/>
      <c r="P80" s="91"/>
      <c r="Q80" s="91"/>
      <c r="R80" s="91"/>
      <c r="S80" s="91"/>
      <c r="T80" s="91"/>
      <c r="U80" s="91"/>
      <c r="V80" s="91"/>
      <c r="W80" s="91"/>
      <c r="X80" s="91"/>
      <c r="Y80" s="91"/>
      <c r="Z80" s="91"/>
    </row>
    <row r="81" ht="72.0" customHeight="1">
      <c r="A81" s="96"/>
      <c r="B81" s="101" t="s">
        <v>521</v>
      </c>
      <c r="C81" s="101" t="s">
        <v>516</v>
      </c>
      <c r="D81" s="101" t="s">
        <v>522</v>
      </c>
      <c r="E81" s="101"/>
      <c r="F81" s="102" t="s">
        <v>523</v>
      </c>
      <c r="G81" s="102" t="s">
        <v>524</v>
      </c>
      <c r="H81" s="103" t="s">
        <v>525</v>
      </c>
      <c r="I81" s="101"/>
      <c r="J81" s="101"/>
      <c r="K81" s="106"/>
      <c r="L81" s="101" t="s">
        <v>215</v>
      </c>
      <c r="M81" s="91"/>
      <c r="N81" s="91"/>
      <c r="O81" s="91"/>
      <c r="P81" s="91"/>
      <c r="Q81" s="91"/>
      <c r="R81" s="91"/>
      <c r="S81" s="91"/>
      <c r="T81" s="91"/>
      <c r="U81" s="91"/>
      <c r="V81" s="91"/>
      <c r="W81" s="91"/>
      <c r="X81" s="91"/>
      <c r="Y81" s="91"/>
      <c r="Z81" s="91"/>
    </row>
    <row r="82" ht="72.0" customHeight="1">
      <c r="A82" s="96"/>
      <c r="B82" s="101" t="s">
        <v>526</v>
      </c>
      <c r="C82" s="101" t="s">
        <v>516</v>
      </c>
      <c r="D82" s="101" t="s">
        <v>527</v>
      </c>
      <c r="E82" s="101"/>
      <c r="F82" s="102" t="s">
        <v>528</v>
      </c>
      <c r="G82" s="102" t="s">
        <v>529</v>
      </c>
      <c r="H82" s="103" t="s">
        <v>530</v>
      </c>
      <c r="I82" s="101"/>
      <c r="J82" s="101"/>
      <c r="K82" s="106"/>
      <c r="L82" s="101" t="s">
        <v>215</v>
      </c>
      <c r="M82" s="91"/>
      <c r="N82" s="91"/>
      <c r="O82" s="91"/>
      <c r="P82" s="91"/>
      <c r="Q82" s="91"/>
      <c r="R82" s="91"/>
      <c r="S82" s="91"/>
      <c r="T82" s="91"/>
      <c r="U82" s="91"/>
      <c r="V82" s="91"/>
      <c r="W82" s="91"/>
      <c r="X82" s="91"/>
      <c r="Y82" s="91"/>
      <c r="Z82" s="91"/>
    </row>
    <row r="83" ht="72.0" customHeight="1">
      <c r="A83" s="96"/>
      <c r="B83" s="101" t="s">
        <v>531</v>
      </c>
      <c r="C83" s="101" t="s">
        <v>516</v>
      </c>
      <c r="D83" s="101" t="s">
        <v>532</v>
      </c>
      <c r="E83" s="101"/>
      <c r="F83" s="101"/>
      <c r="G83" s="101"/>
      <c r="H83" s="103" t="s">
        <v>533</v>
      </c>
      <c r="I83" s="101"/>
      <c r="J83" s="101"/>
      <c r="K83" s="106"/>
      <c r="L83" s="103" t="s">
        <v>215</v>
      </c>
      <c r="M83" s="91"/>
      <c r="N83" s="91"/>
      <c r="O83" s="91"/>
      <c r="P83" s="91"/>
      <c r="Q83" s="91"/>
      <c r="R83" s="91"/>
      <c r="S83" s="91"/>
      <c r="T83" s="91"/>
      <c r="U83" s="91"/>
      <c r="V83" s="91"/>
      <c r="W83" s="91"/>
      <c r="X83" s="91"/>
      <c r="Y83" s="91"/>
      <c r="Z83" s="91"/>
    </row>
    <row r="84" ht="72.0" customHeight="1">
      <c r="A84" s="96"/>
      <c r="B84" s="115" t="s">
        <v>97</v>
      </c>
      <c r="C84" s="25"/>
      <c r="D84" s="25"/>
      <c r="E84" s="25"/>
      <c r="F84" s="25"/>
      <c r="G84" s="25"/>
      <c r="H84" s="25"/>
      <c r="I84" s="25"/>
      <c r="J84" s="25"/>
      <c r="K84" s="26"/>
      <c r="L84" s="116"/>
      <c r="M84" s="91"/>
      <c r="N84" s="91"/>
      <c r="O84" s="91"/>
      <c r="P84" s="91"/>
      <c r="Q84" s="91"/>
      <c r="R84" s="91"/>
      <c r="S84" s="91"/>
      <c r="T84" s="91"/>
      <c r="U84" s="91"/>
      <c r="V84" s="91"/>
      <c r="W84" s="91"/>
      <c r="X84" s="91"/>
      <c r="Y84" s="91"/>
      <c r="Z84" s="91"/>
    </row>
    <row r="85" ht="72.0" customHeight="1">
      <c r="A85" s="96"/>
      <c r="B85" s="99" t="s">
        <v>534</v>
      </c>
      <c r="C85" s="25"/>
      <c r="D85" s="25"/>
      <c r="E85" s="25"/>
      <c r="F85" s="25"/>
      <c r="G85" s="25"/>
      <c r="H85" s="25"/>
      <c r="I85" s="25"/>
      <c r="J85" s="25"/>
      <c r="K85" s="26"/>
      <c r="L85" s="100"/>
      <c r="M85" s="91"/>
      <c r="N85" s="91"/>
      <c r="O85" s="91"/>
      <c r="P85" s="91"/>
      <c r="Q85" s="91"/>
      <c r="R85" s="91"/>
      <c r="S85" s="91"/>
      <c r="T85" s="91"/>
      <c r="U85" s="91"/>
      <c r="V85" s="91"/>
      <c r="W85" s="91"/>
      <c r="X85" s="91"/>
      <c r="Y85" s="91"/>
      <c r="Z85" s="91"/>
    </row>
    <row r="86" ht="72.0" customHeight="1">
      <c r="A86" s="96"/>
      <c r="B86" s="101" t="s">
        <v>535</v>
      </c>
      <c r="C86" s="101" t="s">
        <v>98</v>
      </c>
      <c r="D86" s="101" t="s">
        <v>536</v>
      </c>
      <c r="E86" s="101"/>
      <c r="F86" s="102" t="s">
        <v>537</v>
      </c>
      <c r="G86" s="102" t="s">
        <v>538</v>
      </c>
      <c r="H86" s="101" t="s">
        <v>539</v>
      </c>
      <c r="I86" s="101"/>
      <c r="J86" s="101"/>
      <c r="K86" s="106"/>
      <c r="L86" s="101" t="s">
        <v>215</v>
      </c>
      <c r="M86" s="117"/>
      <c r="N86" s="91"/>
      <c r="O86" s="91"/>
      <c r="P86" s="91"/>
      <c r="Q86" s="91"/>
      <c r="R86" s="91"/>
      <c r="S86" s="91"/>
      <c r="T86" s="91"/>
      <c r="U86" s="91"/>
      <c r="V86" s="91"/>
      <c r="W86" s="91"/>
      <c r="X86" s="91"/>
      <c r="Y86" s="91"/>
      <c r="Z86" s="91"/>
    </row>
    <row r="87" ht="72.0" customHeight="1">
      <c r="A87" s="96"/>
      <c r="B87" s="101" t="s">
        <v>540</v>
      </c>
      <c r="C87" s="101" t="s">
        <v>98</v>
      </c>
      <c r="D87" s="101" t="s">
        <v>541</v>
      </c>
      <c r="E87" s="101"/>
      <c r="F87" s="102" t="s">
        <v>542</v>
      </c>
      <c r="G87" s="102" t="s">
        <v>543</v>
      </c>
      <c r="H87" s="102" t="s">
        <v>544</v>
      </c>
      <c r="I87" s="101"/>
      <c r="J87" s="101"/>
      <c r="K87" s="106"/>
      <c r="L87" s="101" t="s">
        <v>215</v>
      </c>
      <c r="M87" s="117"/>
      <c r="N87" s="91"/>
      <c r="O87" s="91"/>
      <c r="P87" s="91"/>
      <c r="Q87" s="91"/>
      <c r="R87" s="91"/>
      <c r="S87" s="91"/>
      <c r="T87" s="91"/>
      <c r="U87" s="91"/>
      <c r="V87" s="91"/>
      <c r="W87" s="91"/>
      <c r="X87" s="91"/>
      <c r="Y87" s="91"/>
      <c r="Z87" s="91"/>
    </row>
    <row r="88" ht="72.0" customHeight="1">
      <c r="A88" s="96"/>
      <c r="B88" s="101" t="s">
        <v>545</v>
      </c>
      <c r="C88" s="101" t="s">
        <v>98</v>
      </c>
      <c r="D88" s="101" t="s">
        <v>546</v>
      </c>
      <c r="E88" s="101"/>
      <c r="F88" s="102" t="s">
        <v>547</v>
      </c>
      <c r="G88" s="102" t="s">
        <v>548</v>
      </c>
      <c r="H88" s="102" t="s">
        <v>549</v>
      </c>
      <c r="I88" s="106"/>
      <c r="J88" s="101"/>
      <c r="K88" s="106"/>
      <c r="L88" s="101" t="s">
        <v>215</v>
      </c>
      <c r="M88" s="117"/>
      <c r="N88" s="91"/>
      <c r="O88" s="91"/>
      <c r="P88" s="91"/>
      <c r="Q88" s="91"/>
      <c r="R88" s="91"/>
      <c r="S88" s="91"/>
      <c r="T88" s="91"/>
      <c r="U88" s="91"/>
      <c r="V88" s="91"/>
      <c r="W88" s="91"/>
      <c r="X88" s="91"/>
      <c r="Y88" s="91"/>
      <c r="Z88" s="91"/>
    </row>
    <row r="89" ht="72.0" customHeight="1">
      <c r="A89" s="96">
        <v>2.0</v>
      </c>
      <c r="B89" s="101" t="s">
        <v>550</v>
      </c>
      <c r="C89" s="101" t="s">
        <v>98</v>
      </c>
      <c r="D89" s="103" t="s">
        <v>551</v>
      </c>
      <c r="E89" s="101"/>
      <c r="F89" s="101"/>
      <c r="G89" s="104" t="s">
        <v>552</v>
      </c>
      <c r="H89" s="103" t="s">
        <v>553</v>
      </c>
      <c r="I89" s="101"/>
      <c r="J89" s="101"/>
      <c r="K89" s="101"/>
      <c r="L89" s="103" t="s">
        <v>90</v>
      </c>
      <c r="M89" s="117"/>
      <c r="N89" s="91"/>
      <c r="O89" s="91"/>
      <c r="P89" s="91"/>
      <c r="Q89" s="91"/>
      <c r="R89" s="91"/>
      <c r="S89" s="91"/>
      <c r="T89" s="91"/>
      <c r="U89" s="91"/>
      <c r="V89" s="91"/>
      <c r="W89" s="91"/>
      <c r="X89" s="91"/>
      <c r="Y89" s="91"/>
      <c r="Z89" s="91"/>
    </row>
    <row r="90" ht="72.0" customHeight="1">
      <c r="A90" s="96">
        <v>3.0</v>
      </c>
      <c r="B90" s="101" t="s">
        <v>554</v>
      </c>
      <c r="C90" s="101" t="s">
        <v>98</v>
      </c>
      <c r="D90" s="101" t="s">
        <v>555</v>
      </c>
      <c r="E90" s="101"/>
      <c r="F90" s="101"/>
      <c r="G90" s="104" t="s">
        <v>556</v>
      </c>
      <c r="H90" s="101"/>
      <c r="I90" s="101"/>
      <c r="J90" s="101"/>
      <c r="K90" s="101"/>
      <c r="L90" s="103" t="s">
        <v>215</v>
      </c>
      <c r="M90" s="117"/>
      <c r="N90" s="91"/>
      <c r="O90" s="91"/>
      <c r="P90" s="91"/>
      <c r="Q90" s="91"/>
      <c r="R90" s="91"/>
      <c r="S90" s="91"/>
      <c r="T90" s="91"/>
      <c r="U90" s="91"/>
      <c r="V90" s="91"/>
      <c r="W90" s="91"/>
      <c r="X90" s="91"/>
      <c r="Y90" s="91"/>
      <c r="Z90" s="91"/>
    </row>
    <row r="91" ht="72.0" customHeight="1">
      <c r="A91" s="96"/>
      <c r="B91" s="101" t="s">
        <v>557</v>
      </c>
      <c r="C91" s="101" t="s">
        <v>99</v>
      </c>
      <c r="D91" s="101" t="s">
        <v>558</v>
      </c>
      <c r="E91" s="101"/>
      <c r="F91" s="102" t="s">
        <v>559</v>
      </c>
      <c r="G91" s="102" t="s">
        <v>560</v>
      </c>
      <c r="H91" s="118"/>
      <c r="I91" s="101"/>
      <c r="J91" s="101"/>
      <c r="K91" s="101"/>
      <c r="L91" s="101" t="s">
        <v>215</v>
      </c>
      <c r="M91" s="117"/>
      <c r="N91" s="91"/>
      <c r="O91" s="91"/>
      <c r="P91" s="91"/>
      <c r="Q91" s="91"/>
      <c r="R91" s="91"/>
      <c r="S91" s="91"/>
      <c r="T91" s="91"/>
      <c r="U91" s="91"/>
      <c r="V91" s="91"/>
      <c r="W91" s="91"/>
      <c r="X91" s="91"/>
      <c r="Y91" s="91"/>
      <c r="Z91" s="91"/>
    </row>
    <row r="92" ht="72.0" customHeight="1">
      <c r="A92" s="96"/>
      <c r="B92" s="101" t="s">
        <v>561</v>
      </c>
      <c r="C92" s="101" t="s">
        <v>99</v>
      </c>
      <c r="D92" s="101" t="s">
        <v>562</v>
      </c>
      <c r="E92" s="101"/>
      <c r="F92" s="102" t="s">
        <v>563</v>
      </c>
      <c r="G92" s="102" t="s">
        <v>564</v>
      </c>
      <c r="H92" s="113"/>
      <c r="I92" s="101"/>
      <c r="J92" s="101"/>
      <c r="K92" s="101"/>
      <c r="L92" s="101" t="s">
        <v>215</v>
      </c>
      <c r="M92" s="117"/>
      <c r="N92" s="91"/>
      <c r="O92" s="91"/>
      <c r="P92" s="91"/>
      <c r="Q92" s="91"/>
      <c r="R92" s="91"/>
      <c r="S92" s="91"/>
      <c r="T92" s="91"/>
      <c r="U92" s="91"/>
      <c r="V92" s="91"/>
      <c r="W92" s="91"/>
      <c r="X92" s="91"/>
      <c r="Y92" s="91"/>
      <c r="Z92" s="91"/>
    </row>
    <row r="93" ht="72.0" customHeight="1">
      <c r="A93" s="96"/>
      <c r="B93" s="101" t="s">
        <v>565</v>
      </c>
      <c r="C93" s="101" t="s">
        <v>99</v>
      </c>
      <c r="D93" s="101" t="s">
        <v>566</v>
      </c>
      <c r="E93" s="101"/>
      <c r="F93" s="102" t="s">
        <v>567</v>
      </c>
      <c r="G93" s="102" t="s">
        <v>568</v>
      </c>
      <c r="H93" s="113"/>
      <c r="I93" s="101"/>
      <c r="J93" s="101"/>
      <c r="K93" s="101"/>
      <c r="L93" s="101" t="s">
        <v>215</v>
      </c>
      <c r="M93" s="117"/>
      <c r="N93" s="91"/>
      <c r="O93" s="91"/>
      <c r="P93" s="91"/>
      <c r="Q93" s="91"/>
      <c r="R93" s="91"/>
      <c r="S93" s="91"/>
      <c r="T93" s="91"/>
      <c r="U93" s="91"/>
      <c r="V93" s="91"/>
      <c r="W93" s="91"/>
      <c r="X93" s="91"/>
      <c r="Y93" s="91"/>
      <c r="Z93" s="91"/>
    </row>
    <row r="94" ht="72.0" customHeight="1">
      <c r="A94" s="96">
        <v>2.0</v>
      </c>
      <c r="B94" s="101" t="s">
        <v>569</v>
      </c>
      <c r="C94" s="101" t="s">
        <v>99</v>
      </c>
      <c r="D94" s="103" t="s">
        <v>570</v>
      </c>
      <c r="E94" s="101"/>
      <c r="F94" s="101"/>
      <c r="G94" s="104" t="s">
        <v>571</v>
      </c>
      <c r="H94" s="113"/>
      <c r="I94" s="106"/>
      <c r="J94" s="101"/>
      <c r="K94" s="106"/>
      <c r="L94" s="103" t="s">
        <v>215</v>
      </c>
      <c r="M94" s="117"/>
      <c r="N94" s="91"/>
      <c r="O94" s="91"/>
      <c r="P94" s="91"/>
      <c r="Q94" s="91"/>
      <c r="R94" s="91"/>
      <c r="S94" s="91"/>
      <c r="T94" s="91"/>
      <c r="U94" s="91"/>
      <c r="V94" s="91"/>
      <c r="W94" s="91"/>
      <c r="X94" s="91"/>
      <c r="Y94" s="91"/>
      <c r="Z94" s="91"/>
    </row>
    <row r="95" ht="72.0" customHeight="1">
      <c r="A95" s="96">
        <v>3.0</v>
      </c>
      <c r="B95" s="101" t="s">
        <v>572</v>
      </c>
      <c r="C95" s="101" t="s">
        <v>99</v>
      </c>
      <c r="D95" s="101" t="s">
        <v>573</v>
      </c>
      <c r="E95" s="101"/>
      <c r="F95" s="101"/>
      <c r="G95" s="104" t="s">
        <v>574</v>
      </c>
      <c r="H95" s="114"/>
      <c r="I95" s="106"/>
      <c r="J95" s="101"/>
      <c r="K95" s="106"/>
      <c r="L95" s="103" t="s">
        <v>215</v>
      </c>
      <c r="M95" s="117"/>
      <c r="N95" s="91"/>
      <c r="O95" s="91"/>
      <c r="P95" s="91"/>
      <c r="Q95" s="91"/>
      <c r="R95" s="91"/>
      <c r="S95" s="91"/>
      <c r="T95" s="91"/>
      <c r="U95" s="91"/>
      <c r="V95" s="91"/>
      <c r="W95" s="91"/>
      <c r="X95" s="91"/>
      <c r="Y95" s="91"/>
      <c r="Z95" s="91"/>
    </row>
    <row r="96" ht="72.0" customHeight="1">
      <c r="A96" s="96"/>
      <c r="B96" s="101" t="s">
        <v>575</v>
      </c>
      <c r="C96" s="101" t="s">
        <v>576</v>
      </c>
      <c r="D96" s="101" t="s">
        <v>577</v>
      </c>
      <c r="E96" s="101"/>
      <c r="F96" s="102" t="s">
        <v>578</v>
      </c>
      <c r="G96" s="102" t="s">
        <v>579</v>
      </c>
      <c r="H96" s="103" t="s">
        <v>580</v>
      </c>
      <c r="I96" s="106"/>
      <c r="J96" s="101"/>
      <c r="K96" s="106"/>
      <c r="L96" s="101" t="s">
        <v>215</v>
      </c>
      <c r="M96" s="117"/>
      <c r="N96" s="91"/>
      <c r="O96" s="91"/>
      <c r="P96" s="91"/>
      <c r="Q96" s="91"/>
      <c r="R96" s="91"/>
      <c r="S96" s="91"/>
      <c r="T96" s="91"/>
      <c r="U96" s="91"/>
      <c r="V96" s="91"/>
      <c r="W96" s="91"/>
      <c r="X96" s="91"/>
      <c r="Y96" s="91"/>
      <c r="Z96" s="91"/>
    </row>
    <row r="97" ht="72.0" customHeight="1">
      <c r="A97" s="96"/>
      <c r="B97" s="101" t="s">
        <v>581</v>
      </c>
      <c r="C97" s="101" t="s">
        <v>576</v>
      </c>
      <c r="D97" s="101" t="s">
        <v>582</v>
      </c>
      <c r="E97" s="101"/>
      <c r="F97" s="102" t="s">
        <v>583</v>
      </c>
      <c r="G97" s="101" t="s">
        <v>584</v>
      </c>
      <c r="H97" s="103" t="s">
        <v>580</v>
      </c>
      <c r="I97" s="106"/>
      <c r="J97" s="101"/>
      <c r="K97" s="106"/>
      <c r="L97" s="103" t="s">
        <v>90</v>
      </c>
      <c r="M97" s="117"/>
      <c r="N97" s="91"/>
      <c r="O97" s="91"/>
      <c r="P97" s="91"/>
      <c r="Q97" s="91"/>
      <c r="R97" s="91"/>
      <c r="S97" s="91"/>
      <c r="T97" s="91"/>
      <c r="U97" s="91"/>
      <c r="V97" s="91"/>
      <c r="W97" s="91"/>
      <c r="X97" s="91"/>
      <c r="Y97" s="91"/>
      <c r="Z97" s="91"/>
    </row>
    <row r="98" ht="72.0" customHeight="1">
      <c r="A98" s="96">
        <v>2.0</v>
      </c>
      <c r="B98" s="101" t="s">
        <v>585</v>
      </c>
      <c r="C98" s="101" t="s">
        <v>576</v>
      </c>
      <c r="D98" s="101" t="s">
        <v>586</v>
      </c>
      <c r="E98" s="101"/>
      <c r="F98" s="101"/>
      <c r="G98" s="104" t="s">
        <v>587</v>
      </c>
      <c r="H98" s="103" t="s">
        <v>580</v>
      </c>
      <c r="I98" s="101"/>
      <c r="J98" s="101"/>
      <c r="K98" s="101"/>
      <c r="L98" s="103" t="s">
        <v>90</v>
      </c>
      <c r="M98" s="117"/>
      <c r="N98" s="91"/>
      <c r="O98" s="91"/>
      <c r="P98" s="91"/>
      <c r="Q98" s="91"/>
      <c r="R98" s="91"/>
      <c r="S98" s="91"/>
      <c r="T98" s="91"/>
      <c r="U98" s="91"/>
      <c r="V98" s="91"/>
      <c r="W98" s="91"/>
      <c r="X98" s="91"/>
      <c r="Y98" s="91"/>
      <c r="Z98" s="91"/>
    </row>
    <row r="99" ht="72.0" customHeight="1">
      <c r="A99" s="96">
        <v>2.0</v>
      </c>
      <c r="B99" s="101" t="s">
        <v>588</v>
      </c>
      <c r="C99" s="101" t="s">
        <v>576</v>
      </c>
      <c r="D99" s="101" t="s">
        <v>589</v>
      </c>
      <c r="E99" s="101"/>
      <c r="F99" s="101"/>
      <c r="G99" s="104" t="s">
        <v>590</v>
      </c>
      <c r="H99" s="103" t="s">
        <v>580</v>
      </c>
      <c r="I99" s="101"/>
      <c r="J99" s="101"/>
      <c r="K99" s="101"/>
      <c r="L99" s="103" t="s">
        <v>90</v>
      </c>
      <c r="M99" s="117"/>
      <c r="N99" s="91"/>
      <c r="O99" s="91"/>
      <c r="P99" s="91"/>
      <c r="Q99" s="91"/>
      <c r="R99" s="91"/>
      <c r="S99" s="91"/>
      <c r="T99" s="91"/>
      <c r="U99" s="91"/>
      <c r="V99" s="91"/>
      <c r="W99" s="91"/>
      <c r="X99" s="91"/>
      <c r="Y99" s="91"/>
      <c r="Z99" s="91"/>
    </row>
    <row r="100" ht="72.0" customHeight="1">
      <c r="A100" s="96">
        <v>3.0</v>
      </c>
      <c r="B100" s="101" t="s">
        <v>591</v>
      </c>
      <c r="C100" s="101" t="s">
        <v>576</v>
      </c>
      <c r="D100" s="101" t="s">
        <v>592</v>
      </c>
      <c r="E100" s="101"/>
      <c r="F100" s="101"/>
      <c r="G100" s="104" t="s">
        <v>593</v>
      </c>
      <c r="H100" s="103" t="s">
        <v>580</v>
      </c>
      <c r="I100" s="101"/>
      <c r="J100" s="101"/>
      <c r="K100" s="101"/>
      <c r="L100" s="103" t="s">
        <v>90</v>
      </c>
      <c r="M100" s="117"/>
      <c r="N100" s="91"/>
      <c r="O100" s="91"/>
      <c r="P100" s="91"/>
      <c r="Q100" s="91"/>
      <c r="R100" s="91"/>
      <c r="S100" s="91"/>
      <c r="T100" s="91"/>
      <c r="U100" s="91"/>
      <c r="V100" s="91"/>
      <c r="W100" s="91"/>
      <c r="X100" s="91"/>
      <c r="Y100" s="91"/>
      <c r="Z100" s="91"/>
    </row>
    <row r="101" ht="72.0" customHeight="1">
      <c r="A101" s="96">
        <v>3.0</v>
      </c>
      <c r="B101" s="101" t="s">
        <v>594</v>
      </c>
      <c r="C101" s="101" t="s">
        <v>576</v>
      </c>
      <c r="D101" s="101" t="s">
        <v>595</v>
      </c>
      <c r="E101" s="101"/>
      <c r="F101" s="101"/>
      <c r="G101" s="104" t="s">
        <v>596</v>
      </c>
      <c r="H101" s="103" t="s">
        <v>580</v>
      </c>
      <c r="I101" s="101"/>
      <c r="J101" s="101"/>
      <c r="K101" s="101"/>
      <c r="L101" s="103" t="s">
        <v>215</v>
      </c>
      <c r="M101" s="117"/>
      <c r="N101" s="91"/>
      <c r="O101" s="91"/>
      <c r="P101" s="91"/>
      <c r="Q101" s="91"/>
      <c r="R101" s="91"/>
      <c r="S101" s="91"/>
      <c r="T101" s="91"/>
      <c r="U101" s="91"/>
      <c r="V101" s="91"/>
      <c r="W101" s="91"/>
      <c r="X101" s="91"/>
      <c r="Y101" s="91"/>
      <c r="Z101" s="91"/>
    </row>
    <row r="102" ht="72.0" customHeight="1">
      <c r="A102" s="96"/>
      <c r="B102" s="101" t="s">
        <v>597</v>
      </c>
      <c r="C102" s="101" t="s">
        <v>101</v>
      </c>
      <c r="D102" s="101" t="s">
        <v>598</v>
      </c>
      <c r="E102" s="101"/>
      <c r="F102" s="102" t="s">
        <v>599</v>
      </c>
      <c r="G102" s="102" t="s">
        <v>600</v>
      </c>
      <c r="H102" s="103"/>
      <c r="I102" s="101"/>
      <c r="J102" s="101"/>
      <c r="K102" s="101"/>
      <c r="L102" s="101" t="s">
        <v>215</v>
      </c>
      <c r="M102" s="117"/>
      <c r="N102" s="91"/>
      <c r="O102" s="91"/>
      <c r="P102" s="91"/>
      <c r="Q102" s="91"/>
      <c r="R102" s="91"/>
      <c r="S102" s="91"/>
      <c r="T102" s="91"/>
      <c r="U102" s="91"/>
      <c r="V102" s="91"/>
      <c r="W102" s="91"/>
      <c r="X102" s="91"/>
      <c r="Y102" s="91"/>
      <c r="Z102" s="91"/>
    </row>
    <row r="103" ht="72.0" customHeight="1">
      <c r="A103" s="96"/>
      <c r="B103" s="101" t="s">
        <v>601</v>
      </c>
      <c r="C103" s="101" t="s">
        <v>101</v>
      </c>
      <c r="D103" s="101" t="s">
        <v>602</v>
      </c>
      <c r="E103" s="101"/>
      <c r="F103" s="102" t="s">
        <v>603</v>
      </c>
      <c r="G103" s="102" t="s">
        <v>604</v>
      </c>
      <c r="H103" s="101" t="s">
        <v>605</v>
      </c>
      <c r="I103" s="106"/>
      <c r="J103" s="101"/>
      <c r="K103" s="106"/>
      <c r="L103" s="103" t="s">
        <v>215</v>
      </c>
      <c r="M103" s="91"/>
      <c r="N103" s="91"/>
      <c r="O103" s="91"/>
      <c r="P103" s="91"/>
      <c r="Q103" s="91"/>
      <c r="R103" s="91"/>
      <c r="S103" s="91"/>
      <c r="T103" s="91"/>
      <c r="U103" s="91"/>
      <c r="V103" s="91"/>
      <c r="W103" s="91"/>
      <c r="X103" s="91"/>
      <c r="Y103" s="91"/>
      <c r="Z103" s="91"/>
    </row>
    <row r="104" ht="72.0" customHeight="1">
      <c r="A104" s="96">
        <v>2.0</v>
      </c>
      <c r="B104" s="101" t="s">
        <v>606</v>
      </c>
      <c r="C104" s="101" t="s">
        <v>101</v>
      </c>
      <c r="D104" s="101" t="s">
        <v>607</v>
      </c>
      <c r="E104" s="101"/>
      <c r="F104" s="101"/>
      <c r="G104" s="104" t="s">
        <v>608</v>
      </c>
      <c r="H104" s="101"/>
      <c r="I104" s="106"/>
      <c r="J104" s="101"/>
      <c r="K104" s="106"/>
      <c r="L104" s="103" t="s">
        <v>215</v>
      </c>
      <c r="M104" s="91"/>
      <c r="N104" s="91"/>
      <c r="O104" s="91"/>
      <c r="P104" s="91"/>
      <c r="Q104" s="91"/>
      <c r="R104" s="91"/>
      <c r="S104" s="91"/>
      <c r="T104" s="91"/>
      <c r="U104" s="91"/>
      <c r="V104" s="91"/>
      <c r="W104" s="91"/>
      <c r="X104" s="91"/>
      <c r="Y104" s="91"/>
      <c r="Z104" s="91"/>
    </row>
    <row r="105" ht="72.0" customHeight="1">
      <c r="A105" s="96">
        <v>2.0</v>
      </c>
      <c r="B105" s="101" t="s">
        <v>609</v>
      </c>
      <c r="C105" s="101" t="s">
        <v>101</v>
      </c>
      <c r="D105" s="101" t="s">
        <v>610</v>
      </c>
      <c r="E105" s="101"/>
      <c r="F105" s="101"/>
      <c r="G105" s="104" t="s">
        <v>611</v>
      </c>
      <c r="H105" s="101"/>
      <c r="I105" s="106"/>
      <c r="J105" s="101"/>
      <c r="K105" s="106"/>
      <c r="L105" s="103" t="s">
        <v>215</v>
      </c>
      <c r="M105" s="117"/>
      <c r="N105" s="91"/>
      <c r="O105" s="91"/>
      <c r="P105" s="91"/>
      <c r="Q105" s="91"/>
      <c r="R105" s="91"/>
      <c r="S105" s="91"/>
      <c r="T105" s="91"/>
      <c r="U105" s="91"/>
      <c r="V105" s="91"/>
      <c r="W105" s="91"/>
      <c r="X105" s="91"/>
      <c r="Y105" s="91"/>
      <c r="Z105" s="91"/>
    </row>
    <row r="106" ht="72.0" customHeight="1">
      <c r="A106" s="96">
        <v>2.0</v>
      </c>
      <c r="B106" s="101" t="s">
        <v>612</v>
      </c>
      <c r="C106" s="101" t="s">
        <v>101</v>
      </c>
      <c r="D106" s="101" t="s">
        <v>613</v>
      </c>
      <c r="E106" s="101"/>
      <c r="F106" s="101"/>
      <c r="G106" s="104" t="s">
        <v>614</v>
      </c>
      <c r="H106" s="101"/>
      <c r="I106" s="106"/>
      <c r="J106" s="101"/>
      <c r="K106" s="106"/>
      <c r="L106" s="103" t="s">
        <v>215</v>
      </c>
      <c r="M106" s="91"/>
      <c r="N106" s="91"/>
      <c r="O106" s="91"/>
      <c r="P106" s="91"/>
      <c r="Q106" s="91"/>
      <c r="R106" s="91"/>
      <c r="S106" s="91"/>
      <c r="T106" s="91"/>
      <c r="U106" s="91"/>
      <c r="V106" s="91"/>
      <c r="W106" s="91"/>
      <c r="X106" s="91"/>
      <c r="Y106" s="91"/>
      <c r="Z106" s="91"/>
    </row>
    <row r="107" ht="72.0" customHeight="1">
      <c r="A107" s="96">
        <v>2.0</v>
      </c>
      <c r="B107" s="101" t="s">
        <v>615</v>
      </c>
      <c r="C107" s="101" t="s">
        <v>101</v>
      </c>
      <c r="D107" s="101" t="s">
        <v>616</v>
      </c>
      <c r="E107" s="101"/>
      <c r="F107" s="101"/>
      <c r="G107" s="104" t="s">
        <v>617</v>
      </c>
      <c r="H107" s="103" t="s">
        <v>618</v>
      </c>
      <c r="I107" s="106"/>
      <c r="J107" s="101"/>
      <c r="K107" s="106"/>
      <c r="L107" s="103" t="s">
        <v>215</v>
      </c>
      <c r="M107" s="91"/>
      <c r="N107" s="91"/>
      <c r="O107" s="91"/>
      <c r="P107" s="91"/>
      <c r="Q107" s="91"/>
      <c r="R107" s="91"/>
      <c r="S107" s="91"/>
      <c r="T107" s="91"/>
      <c r="U107" s="91"/>
      <c r="V107" s="91"/>
      <c r="W107" s="91"/>
      <c r="X107" s="91"/>
      <c r="Y107" s="91"/>
      <c r="Z107" s="91"/>
    </row>
    <row r="108" ht="72.0" customHeight="1">
      <c r="A108" s="96">
        <v>2.0</v>
      </c>
      <c r="B108" s="101" t="s">
        <v>619</v>
      </c>
      <c r="C108" s="101" t="s">
        <v>101</v>
      </c>
      <c r="D108" s="103" t="s">
        <v>620</v>
      </c>
      <c r="E108" s="101"/>
      <c r="F108" s="101"/>
      <c r="G108" s="104" t="s">
        <v>621</v>
      </c>
      <c r="H108" s="103" t="s">
        <v>622</v>
      </c>
      <c r="I108" s="106"/>
      <c r="J108" s="101"/>
      <c r="K108" s="106"/>
      <c r="L108" s="103" t="s">
        <v>215</v>
      </c>
      <c r="M108" s="91"/>
      <c r="N108" s="91"/>
      <c r="O108" s="91"/>
      <c r="P108" s="91"/>
      <c r="Q108" s="91"/>
      <c r="R108" s="91"/>
      <c r="S108" s="91"/>
      <c r="T108" s="91"/>
      <c r="U108" s="91"/>
      <c r="V108" s="91"/>
      <c r="W108" s="91"/>
      <c r="X108" s="91"/>
      <c r="Y108" s="91"/>
      <c r="Z108" s="91"/>
    </row>
    <row r="109" ht="72.0" customHeight="1">
      <c r="A109" s="96">
        <v>3.0</v>
      </c>
      <c r="B109" s="101" t="s">
        <v>623</v>
      </c>
      <c r="C109" s="101" t="s">
        <v>101</v>
      </c>
      <c r="D109" s="101" t="s">
        <v>624</v>
      </c>
      <c r="E109" s="101"/>
      <c r="F109" s="101"/>
      <c r="G109" s="104" t="s">
        <v>625</v>
      </c>
      <c r="H109" s="101"/>
      <c r="I109" s="106"/>
      <c r="J109" s="101"/>
      <c r="K109" s="106"/>
      <c r="L109" s="103" t="s">
        <v>215</v>
      </c>
      <c r="M109" s="91"/>
      <c r="N109" s="91"/>
      <c r="O109" s="91"/>
      <c r="P109" s="91"/>
      <c r="Q109" s="91"/>
      <c r="R109" s="91"/>
      <c r="S109" s="91"/>
      <c r="T109" s="91"/>
      <c r="U109" s="91"/>
      <c r="V109" s="91"/>
      <c r="W109" s="91"/>
      <c r="X109" s="91"/>
      <c r="Y109" s="91"/>
      <c r="Z109" s="91"/>
    </row>
    <row r="110" ht="72.0" customHeight="1">
      <c r="A110" s="96"/>
      <c r="B110" s="101" t="s">
        <v>626</v>
      </c>
      <c r="C110" s="101" t="s">
        <v>102</v>
      </c>
      <c r="D110" s="101" t="s">
        <v>627</v>
      </c>
      <c r="E110" s="101"/>
      <c r="F110" s="102" t="s">
        <v>628</v>
      </c>
      <c r="G110" s="102" t="s">
        <v>629</v>
      </c>
      <c r="H110" s="118" t="s">
        <v>630</v>
      </c>
      <c r="I110" s="106"/>
      <c r="J110" s="101"/>
      <c r="K110" s="106"/>
      <c r="L110" s="101" t="s">
        <v>215</v>
      </c>
      <c r="M110" s="117"/>
      <c r="N110" s="91"/>
      <c r="O110" s="91"/>
      <c r="P110" s="91"/>
      <c r="Q110" s="91"/>
      <c r="R110" s="91"/>
      <c r="S110" s="91"/>
      <c r="T110" s="91"/>
      <c r="U110" s="91"/>
      <c r="V110" s="91"/>
      <c r="W110" s="91"/>
      <c r="X110" s="91"/>
      <c r="Y110" s="91"/>
      <c r="Z110" s="91"/>
    </row>
    <row r="111" ht="72.0" customHeight="1">
      <c r="A111" s="96"/>
      <c r="B111" s="101" t="s">
        <v>631</v>
      </c>
      <c r="C111" s="101" t="s">
        <v>102</v>
      </c>
      <c r="D111" s="101" t="s">
        <v>632</v>
      </c>
      <c r="E111" s="101"/>
      <c r="F111" s="102" t="s">
        <v>633</v>
      </c>
      <c r="G111" s="102" t="s">
        <v>634</v>
      </c>
      <c r="H111" s="113"/>
      <c r="I111" s="106"/>
      <c r="J111" s="101"/>
      <c r="K111" s="106"/>
      <c r="L111" s="101" t="s">
        <v>215</v>
      </c>
      <c r="M111" s="117"/>
      <c r="N111" s="91"/>
      <c r="O111" s="91"/>
      <c r="P111" s="91"/>
      <c r="Q111" s="91"/>
      <c r="R111" s="91"/>
      <c r="S111" s="91"/>
      <c r="T111" s="91"/>
      <c r="U111" s="91"/>
      <c r="V111" s="91"/>
      <c r="W111" s="91"/>
      <c r="X111" s="91"/>
      <c r="Y111" s="91"/>
      <c r="Z111" s="91"/>
    </row>
    <row r="112" ht="72.0" customHeight="1">
      <c r="A112" s="96"/>
      <c r="B112" s="101" t="s">
        <v>635</v>
      </c>
      <c r="C112" s="101" t="s">
        <v>102</v>
      </c>
      <c r="D112" s="101" t="s">
        <v>636</v>
      </c>
      <c r="E112" s="101"/>
      <c r="F112" s="102" t="s">
        <v>637</v>
      </c>
      <c r="G112" s="102" t="s">
        <v>638</v>
      </c>
      <c r="H112" s="113"/>
      <c r="I112" s="106"/>
      <c r="J112" s="101"/>
      <c r="K112" s="106"/>
      <c r="L112" s="101" t="s">
        <v>215</v>
      </c>
      <c r="M112" s="117"/>
      <c r="N112" s="91"/>
      <c r="O112" s="91"/>
      <c r="P112" s="91"/>
      <c r="Q112" s="91"/>
      <c r="R112" s="91"/>
      <c r="S112" s="91"/>
      <c r="T112" s="91"/>
      <c r="U112" s="91"/>
      <c r="V112" s="91"/>
      <c r="W112" s="91"/>
      <c r="X112" s="91"/>
      <c r="Y112" s="91"/>
      <c r="Z112" s="91"/>
    </row>
    <row r="113" ht="72.0" customHeight="1">
      <c r="A113" s="96"/>
      <c r="B113" s="101" t="s">
        <v>639</v>
      </c>
      <c r="C113" s="101" t="s">
        <v>102</v>
      </c>
      <c r="D113" s="101" t="s">
        <v>640</v>
      </c>
      <c r="E113" s="101"/>
      <c r="F113" s="102" t="s">
        <v>641</v>
      </c>
      <c r="G113" s="102" t="s">
        <v>642</v>
      </c>
      <c r="H113" s="113"/>
      <c r="I113" s="106"/>
      <c r="J113" s="101"/>
      <c r="K113" s="106"/>
      <c r="L113" s="101" t="s">
        <v>215</v>
      </c>
      <c r="M113" s="117"/>
      <c r="N113" s="91"/>
      <c r="O113" s="91"/>
      <c r="P113" s="91"/>
      <c r="Q113" s="91"/>
      <c r="R113" s="91"/>
      <c r="S113" s="91"/>
      <c r="T113" s="91"/>
      <c r="U113" s="91"/>
      <c r="V113" s="91"/>
      <c r="W113" s="91"/>
      <c r="X113" s="91"/>
      <c r="Y113" s="91"/>
      <c r="Z113" s="91"/>
    </row>
    <row r="114" ht="72.0" customHeight="1">
      <c r="A114" s="96"/>
      <c r="B114" s="101" t="s">
        <v>643</v>
      </c>
      <c r="C114" s="101" t="s">
        <v>102</v>
      </c>
      <c r="D114" s="101" t="s">
        <v>644</v>
      </c>
      <c r="E114" s="101"/>
      <c r="F114" s="102" t="s">
        <v>645</v>
      </c>
      <c r="G114" s="102" t="s">
        <v>646</v>
      </c>
      <c r="H114" s="113"/>
      <c r="I114" s="101"/>
      <c r="J114" s="101"/>
      <c r="K114" s="101"/>
      <c r="L114" s="101" t="s">
        <v>215</v>
      </c>
      <c r="M114" s="117"/>
      <c r="N114" s="91"/>
      <c r="O114" s="91"/>
      <c r="P114" s="91"/>
      <c r="Q114" s="91"/>
      <c r="R114" s="91"/>
      <c r="S114" s="91"/>
      <c r="T114" s="91"/>
      <c r="U114" s="91"/>
      <c r="V114" s="91"/>
      <c r="W114" s="91"/>
      <c r="X114" s="91"/>
      <c r="Y114" s="91"/>
      <c r="Z114" s="91"/>
    </row>
    <row r="115" ht="72.0" customHeight="1">
      <c r="A115" s="96"/>
      <c r="B115" s="101" t="s">
        <v>647</v>
      </c>
      <c r="C115" s="101" t="s">
        <v>102</v>
      </c>
      <c r="D115" s="101" t="s">
        <v>648</v>
      </c>
      <c r="E115" s="101"/>
      <c r="F115" s="102" t="s">
        <v>649</v>
      </c>
      <c r="G115" s="102" t="s">
        <v>650</v>
      </c>
      <c r="H115" s="113"/>
      <c r="I115" s="106"/>
      <c r="J115" s="101"/>
      <c r="K115" s="106"/>
      <c r="L115" s="101" t="s">
        <v>215</v>
      </c>
      <c r="M115" s="117"/>
      <c r="N115" s="91"/>
      <c r="O115" s="91"/>
      <c r="P115" s="91"/>
      <c r="Q115" s="91"/>
      <c r="R115" s="91"/>
      <c r="S115" s="91"/>
      <c r="T115" s="91"/>
      <c r="U115" s="91"/>
      <c r="V115" s="91"/>
      <c r="W115" s="91"/>
      <c r="X115" s="91"/>
      <c r="Y115" s="91"/>
      <c r="Z115" s="91"/>
    </row>
    <row r="116" ht="72.0" customHeight="1">
      <c r="A116" s="96"/>
      <c r="B116" s="101" t="s">
        <v>651</v>
      </c>
      <c r="C116" s="101" t="s">
        <v>102</v>
      </c>
      <c r="D116" s="101" t="s">
        <v>652</v>
      </c>
      <c r="E116" s="101"/>
      <c r="F116" s="102" t="s">
        <v>653</v>
      </c>
      <c r="G116" s="102" t="s">
        <v>654</v>
      </c>
      <c r="H116" s="114"/>
      <c r="I116" s="106"/>
      <c r="J116" s="101"/>
      <c r="K116" s="106"/>
      <c r="L116" s="101" t="s">
        <v>215</v>
      </c>
      <c r="M116" s="117"/>
      <c r="N116" s="91"/>
      <c r="O116" s="91"/>
      <c r="P116" s="91"/>
      <c r="Q116" s="91"/>
      <c r="R116" s="91"/>
      <c r="S116" s="91"/>
      <c r="T116" s="91"/>
      <c r="U116" s="91"/>
      <c r="V116" s="91"/>
      <c r="W116" s="91"/>
      <c r="X116" s="91"/>
      <c r="Y116" s="91"/>
      <c r="Z116" s="91"/>
    </row>
    <row r="117" ht="72.0" customHeight="1">
      <c r="A117" s="96"/>
      <c r="B117" s="101" t="s">
        <v>655</v>
      </c>
      <c r="C117" s="101" t="s">
        <v>102</v>
      </c>
      <c r="D117" s="101" t="s">
        <v>656</v>
      </c>
      <c r="E117" s="101"/>
      <c r="F117" s="102" t="s">
        <v>657</v>
      </c>
      <c r="G117" s="102" t="s">
        <v>658</v>
      </c>
      <c r="H117" s="101" t="s">
        <v>659</v>
      </c>
      <c r="I117" s="106"/>
      <c r="J117" s="101"/>
      <c r="K117" s="106"/>
      <c r="L117" s="101" t="s">
        <v>215</v>
      </c>
      <c r="M117" s="117"/>
      <c r="N117" s="91"/>
      <c r="O117" s="91"/>
      <c r="P117" s="91"/>
      <c r="Q117" s="91"/>
      <c r="R117" s="91"/>
      <c r="S117" s="91"/>
      <c r="T117" s="91"/>
      <c r="U117" s="91"/>
      <c r="V117" s="91"/>
      <c r="W117" s="91"/>
      <c r="X117" s="91"/>
      <c r="Y117" s="91"/>
      <c r="Z117" s="91"/>
    </row>
    <row r="118" ht="72.0" customHeight="1">
      <c r="A118" s="96"/>
      <c r="B118" s="101" t="s">
        <v>660</v>
      </c>
      <c r="C118" s="101" t="s">
        <v>102</v>
      </c>
      <c r="D118" s="101" t="s">
        <v>661</v>
      </c>
      <c r="E118" s="101"/>
      <c r="F118" s="102" t="s">
        <v>662</v>
      </c>
      <c r="G118" s="102" t="s">
        <v>663</v>
      </c>
      <c r="H118" s="101" t="s">
        <v>664</v>
      </c>
      <c r="I118" s="106"/>
      <c r="J118" s="101"/>
      <c r="K118" s="106"/>
      <c r="L118" s="101" t="s">
        <v>215</v>
      </c>
      <c r="M118" s="117"/>
      <c r="N118" s="91"/>
      <c r="O118" s="91"/>
      <c r="P118" s="91"/>
      <c r="Q118" s="91"/>
      <c r="R118" s="91"/>
      <c r="S118" s="91"/>
      <c r="T118" s="91"/>
      <c r="U118" s="91"/>
      <c r="V118" s="91"/>
      <c r="W118" s="91"/>
      <c r="X118" s="91"/>
      <c r="Y118" s="91"/>
      <c r="Z118" s="91"/>
    </row>
    <row r="119" ht="72.0" customHeight="1">
      <c r="A119" s="96">
        <v>2.0</v>
      </c>
      <c r="B119" s="101" t="s">
        <v>665</v>
      </c>
      <c r="C119" s="101" t="s">
        <v>102</v>
      </c>
      <c r="D119" s="101" t="s">
        <v>666</v>
      </c>
      <c r="E119" s="101"/>
      <c r="F119" s="101"/>
      <c r="G119" s="104" t="s">
        <v>667</v>
      </c>
      <c r="H119" s="101"/>
      <c r="I119" s="101"/>
      <c r="J119" s="101"/>
      <c r="K119" s="106"/>
      <c r="L119" s="103" t="s">
        <v>90</v>
      </c>
      <c r="M119" s="91"/>
      <c r="N119" s="91"/>
      <c r="O119" s="91"/>
      <c r="P119" s="91"/>
      <c r="Q119" s="91"/>
      <c r="R119" s="91"/>
      <c r="S119" s="91"/>
      <c r="T119" s="91"/>
      <c r="U119" s="91"/>
      <c r="V119" s="91"/>
      <c r="W119" s="91"/>
      <c r="X119" s="91"/>
      <c r="Y119" s="91"/>
      <c r="Z119" s="91"/>
    </row>
    <row r="120" ht="72.0" customHeight="1">
      <c r="A120" s="96">
        <v>2.0</v>
      </c>
      <c r="B120" s="101" t="s">
        <v>668</v>
      </c>
      <c r="C120" s="101" t="s">
        <v>102</v>
      </c>
      <c r="D120" s="101" t="s">
        <v>669</v>
      </c>
      <c r="E120" s="101"/>
      <c r="F120" s="101"/>
      <c r="G120" s="104" t="s">
        <v>670</v>
      </c>
      <c r="H120" s="101"/>
      <c r="I120" s="101"/>
      <c r="J120" s="101"/>
      <c r="K120" s="106"/>
      <c r="L120" s="103" t="s">
        <v>90</v>
      </c>
      <c r="M120" s="91"/>
      <c r="N120" s="91"/>
      <c r="O120" s="91"/>
      <c r="P120" s="91"/>
      <c r="Q120" s="91"/>
      <c r="R120" s="91"/>
      <c r="S120" s="91"/>
      <c r="T120" s="91"/>
      <c r="U120" s="91"/>
      <c r="V120" s="91"/>
      <c r="W120" s="91"/>
      <c r="X120" s="91"/>
      <c r="Y120" s="91"/>
      <c r="Z120" s="91"/>
    </row>
    <row r="121" ht="72.0" customHeight="1">
      <c r="A121" s="96">
        <v>2.0</v>
      </c>
      <c r="B121" s="101" t="s">
        <v>671</v>
      </c>
      <c r="C121" s="101" t="s">
        <v>102</v>
      </c>
      <c r="D121" s="103" t="s">
        <v>672</v>
      </c>
      <c r="E121" s="101"/>
      <c r="F121" s="101"/>
      <c r="G121" s="104" t="s">
        <v>673</v>
      </c>
      <c r="H121" s="103" t="s">
        <v>674</v>
      </c>
      <c r="I121" s="101"/>
      <c r="J121" s="101"/>
      <c r="K121" s="106"/>
      <c r="L121" s="103" t="s">
        <v>215</v>
      </c>
      <c r="M121" s="91"/>
      <c r="N121" s="91"/>
      <c r="O121" s="91"/>
      <c r="P121" s="91"/>
      <c r="Q121" s="91"/>
      <c r="R121" s="91"/>
      <c r="S121" s="91"/>
      <c r="T121" s="91"/>
      <c r="U121" s="91"/>
      <c r="V121" s="91"/>
      <c r="W121" s="91"/>
      <c r="X121" s="91"/>
      <c r="Y121" s="91"/>
      <c r="Z121" s="91"/>
    </row>
    <row r="122" ht="72.0" customHeight="1">
      <c r="A122" s="96">
        <v>2.0</v>
      </c>
      <c r="B122" s="101" t="s">
        <v>675</v>
      </c>
      <c r="C122" s="101" t="s">
        <v>102</v>
      </c>
      <c r="D122" s="101" t="s">
        <v>676</v>
      </c>
      <c r="E122" s="101"/>
      <c r="F122" s="101"/>
      <c r="G122" s="104" t="s">
        <v>677</v>
      </c>
      <c r="H122" s="103" t="s">
        <v>678</v>
      </c>
      <c r="I122" s="101"/>
      <c r="J122" s="101"/>
      <c r="K122" s="106"/>
      <c r="L122" s="103" t="s">
        <v>215</v>
      </c>
      <c r="M122" s="117"/>
      <c r="N122" s="91"/>
      <c r="O122" s="91"/>
      <c r="P122" s="91"/>
      <c r="Q122" s="91"/>
      <c r="R122" s="91"/>
      <c r="S122" s="91"/>
      <c r="T122" s="91"/>
      <c r="U122" s="91"/>
      <c r="V122" s="91"/>
      <c r="W122" s="91"/>
      <c r="X122" s="91"/>
      <c r="Y122" s="91"/>
      <c r="Z122" s="91"/>
    </row>
    <row r="123" ht="72.0" customHeight="1">
      <c r="A123" s="96">
        <v>2.0</v>
      </c>
      <c r="B123" s="101" t="s">
        <v>679</v>
      </c>
      <c r="C123" s="101" t="s">
        <v>102</v>
      </c>
      <c r="D123" s="101" t="s">
        <v>680</v>
      </c>
      <c r="E123" s="101"/>
      <c r="F123" s="101"/>
      <c r="G123" s="104" t="s">
        <v>681</v>
      </c>
      <c r="H123" s="103" t="s">
        <v>682</v>
      </c>
      <c r="I123" s="101"/>
      <c r="J123" s="101"/>
      <c r="K123" s="106"/>
      <c r="L123" s="103" t="s">
        <v>215</v>
      </c>
      <c r="M123" s="117"/>
      <c r="N123" s="91"/>
      <c r="O123" s="91"/>
      <c r="P123" s="91"/>
      <c r="Q123" s="91"/>
      <c r="R123" s="91"/>
      <c r="S123" s="91"/>
      <c r="T123" s="91"/>
      <c r="U123" s="91"/>
      <c r="V123" s="91"/>
      <c r="W123" s="91"/>
      <c r="X123" s="91"/>
      <c r="Y123" s="91"/>
      <c r="Z123" s="91"/>
    </row>
    <row r="124" ht="72.0" customHeight="1">
      <c r="A124" s="96">
        <v>3.0</v>
      </c>
      <c r="B124" s="101" t="s">
        <v>683</v>
      </c>
      <c r="C124" s="101" t="s">
        <v>102</v>
      </c>
      <c r="D124" s="101" t="s">
        <v>684</v>
      </c>
      <c r="E124" s="101"/>
      <c r="F124" s="101"/>
      <c r="G124" s="104" t="s">
        <v>685</v>
      </c>
      <c r="H124" s="101"/>
      <c r="I124" s="101"/>
      <c r="J124" s="101"/>
      <c r="K124" s="106"/>
      <c r="L124" s="103" t="s">
        <v>215</v>
      </c>
      <c r="M124" s="117"/>
      <c r="N124" s="91"/>
      <c r="O124" s="91"/>
      <c r="P124" s="91"/>
      <c r="Q124" s="91"/>
      <c r="R124" s="91"/>
      <c r="S124" s="91"/>
      <c r="T124" s="91"/>
      <c r="U124" s="91"/>
      <c r="V124" s="91"/>
      <c r="W124" s="91"/>
      <c r="X124" s="91"/>
      <c r="Y124" s="91"/>
      <c r="Z124" s="91"/>
    </row>
    <row r="125" ht="72.0" customHeight="1">
      <c r="A125" s="96"/>
      <c r="B125" s="101" t="s">
        <v>686</v>
      </c>
      <c r="C125" s="101" t="s">
        <v>103</v>
      </c>
      <c r="D125" s="101" t="s">
        <v>687</v>
      </c>
      <c r="E125" s="101"/>
      <c r="F125" s="102" t="s">
        <v>688</v>
      </c>
      <c r="G125" s="102" t="s">
        <v>689</v>
      </c>
      <c r="H125" s="101" t="s">
        <v>690</v>
      </c>
      <c r="I125" s="102" t="s">
        <v>691</v>
      </c>
      <c r="J125" s="101" t="s">
        <v>39</v>
      </c>
      <c r="K125" s="119" t="s">
        <v>692</v>
      </c>
      <c r="L125" s="101" t="s">
        <v>215</v>
      </c>
      <c r="M125" s="117"/>
      <c r="N125" s="91"/>
      <c r="O125" s="91"/>
      <c r="P125" s="91"/>
      <c r="Q125" s="91"/>
      <c r="R125" s="91"/>
      <c r="S125" s="91"/>
      <c r="T125" s="91"/>
      <c r="U125" s="91"/>
      <c r="V125" s="91"/>
      <c r="W125" s="91"/>
      <c r="X125" s="91"/>
      <c r="Y125" s="91"/>
      <c r="Z125" s="91"/>
    </row>
    <row r="126" ht="72.0" customHeight="1">
      <c r="A126" s="96"/>
      <c r="B126" s="101" t="s">
        <v>693</v>
      </c>
      <c r="C126" s="101" t="s">
        <v>103</v>
      </c>
      <c r="D126" s="101" t="s">
        <v>694</v>
      </c>
      <c r="E126" s="101"/>
      <c r="F126" s="102" t="s">
        <v>695</v>
      </c>
      <c r="G126" s="102" t="s">
        <v>696</v>
      </c>
      <c r="H126" s="101" t="s">
        <v>697</v>
      </c>
      <c r="I126" s="106"/>
      <c r="J126" s="101"/>
      <c r="K126" s="106"/>
      <c r="L126" s="101" t="s">
        <v>215</v>
      </c>
      <c r="M126" s="117"/>
      <c r="N126" s="91"/>
      <c r="O126" s="91"/>
      <c r="P126" s="91"/>
      <c r="Q126" s="91"/>
      <c r="R126" s="91"/>
      <c r="S126" s="91"/>
      <c r="T126" s="91"/>
      <c r="U126" s="91"/>
      <c r="V126" s="91"/>
      <c r="W126" s="91"/>
      <c r="X126" s="91"/>
      <c r="Y126" s="91"/>
      <c r="Z126" s="91"/>
    </row>
    <row r="127" ht="72.0" customHeight="1">
      <c r="A127" s="96"/>
      <c r="B127" s="101" t="s">
        <v>698</v>
      </c>
      <c r="C127" s="101" t="s">
        <v>103</v>
      </c>
      <c r="D127" s="101" t="s">
        <v>699</v>
      </c>
      <c r="E127" s="101"/>
      <c r="F127" s="102" t="s">
        <v>700</v>
      </c>
      <c r="G127" s="102" t="s">
        <v>701</v>
      </c>
      <c r="H127" s="101"/>
      <c r="I127" s="106"/>
      <c r="J127" s="101"/>
      <c r="K127" s="106"/>
      <c r="L127" s="101" t="s">
        <v>215</v>
      </c>
      <c r="M127" s="117"/>
      <c r="N127" s="91"/>
      <c r="O127" s="91"/>
      <c r="P127" s="91"/>
      <c r="Q127" s="91"/>
      <c r="R127" s="91"/>
      <c r="S127" s="91"/>
      <c r="T127" s="91"/>
      <c r="U127" s="91"/>
      <c r="V127" s="91"/>
      <c r="W127" s="91"/>
      <c r="X127" s="91"/>
      <c r="Y127" s="91"/>
      <c r="Z127" s="91"/>
    </row>
    <row r="128" ht="72.0" customHeight="1">
      <c r="A128" s="96"/>
      <c r="B128" s="101" t="s">
        <v>702</v>
      </c>
      <c r="C128" s="101" t="s">
        <v>103</v>
      </c>
      <c r="D128" s="103" t="s">
        <v>703</v>
      </c>
      <c r="E128" s="101"/>
      <c r="F128" s="102" t="s">
        <v>704</v>
      </c>
      <c r="G128" s="103" t="s">
        <v>705</v>
      </c>
      <c r="H128" s="101" t="s">
        <v>706</v>
      </c>
      <c r="I128" s="106"/>
      <c r="J128" s="106"/>
      <c r="K128" s="106"/>
      <c r="L128" s="101" t="s">
        <v>215</v>
      </c>
      <c r="M128" s="117"/>
      <c r="N128" s="91"/>
      <c r="O128" s="91"/>
      <c r="P128" s="91"/>
      <c r="Q128" s="91"/>
      <c r="R128" s="91"/>
      <c r="S128" s="91"/>
      <c r="T128" s="91"/>
      <c r="U128" s="91"/>
      <c r="V128" s="91"/>
      <c r="W128" s="91"/>
      <c r="X128" s="91"/>
      <c r="Y128" s="91"/>
      <c r="Z128" s="91"/>
    </row>
    <row r="129" ht="72.0" customHeight="1">
      <c r="A129" s="96"/>
      <c r="B129" s="101" t="s">
        <v>707</v>
      </c>
      <c r="C129" s="101" t="s">
        <v>103</v>
      </c>
      <c r="D129" s="101" t="s">
        <v>708</v>
      </c>
      <c r="E129" s="101"/>
      <c r="F129" s="102" t="s">
        <v>709</v>
      </c>
      <c r="G129" s="103" t="s">
        <v>710</v>
      </c>
      <c r="H129" s="101" t="s">
        <v>711</v>
      </c>
      <c r="I129" s="101"/>
      <c r="J129" s="101"/>
      <c r="K129" s="101"/>
      <c r="L129" s="101" t="s">
        <v>215</v>
      </c>
      <c r="M129" s="117"/>
      <c r="N129" s="91"/>
      <c r="O129" s="91"/>
      <c r="P129" s="91"/>
      <c r="Q129" s="91"/>
      <c r="R129" s="91"/>
      <c r="S129" s="91"/>
      <c r="T129" s="91"/>
      <c r="U129" s="91"/>
      <c r="V129" s="91"/>
      <c r="W129" s="91"/>
      <c r="X129" s="91"/>
      <c r="Y129" s="91"/>
      <c r="Z129" s="91"/>
    </row>
    <row r="130" ht="72.0" customHeight="1">
      <c r="A130" s="96">
        <v>2.0</v>
      </c>
      <c r="B130" s="101" t="s">
        <v>712</v>
      </c>
      <c r="C130" s="101" t="s">
        <v>103</v>
      </c>
      <c r="D130" s="101" t="s">
        <v>713</v>
      </c>
      <c r="E130" s="101"/>
      <c r="F130" s="101"/>
      <c r="G130" s="104" t="s">
        <v>714</v>
      </c>
      <c r="H130" s="101"/>
      <c r="I130" s="120" t="s">
        <v>715</v>
      </c>
      <c r="J130" s="101" t="s">
        <v>39</v>
      </c>
      <c r="K130" s="119" t="s">
        <v>692</v>
      </c>
      <c r="L130" s="103" t="s">
        <v>47</v>
      </c>
      <c r="M130" s="91"/>
      <c r="N130" s="91"/>
      <c r="O130" s="91"/>
      <c r="P130" s="91"/>
      <c r="Q130" s="91"/>
      <c r="R130" s="91"/>
      <c r="S130" s="91"/>
      <c r="T130" s="91"/>
      <c r="U130" s="91"/>
      <c r="V130" s="91"/>
      <c r="W130" s="91"/>
      <c r="X130" s="91"/>
      <c r="Y130" s="91"/>
      <c r="Z130" s="91"/>
    </row>
    <row r="131" ht="72.0" customHeight="1">
      <c r="A131" s="96">
        <v>2.0</v>
      </c>
      <c r="B131" s="101" t="s">
        <v>716</v>
      </c>
      <c r="C131" s="101" t="s">
        <v>103</v>
      </c>
      <c r="D131" s="101" t="s">
        <v>717</v>
      </c>
      <c r="E131" s="101"/>
      <c r="F131" s="101"/>
      <c r="G131" s="104" t="s">
        <v>718</v>
      </c>
      <c r="H131" s="103" t="s">
        <v>719</v>
      </c>
      <c r="I131" s="101"/>
      <c r="J131" s="101"/>
      <c r="K131" s="101"/>
      <c r="L131" s="103" t="s">
        <v>215</v>
      </c>
      <c r="M131" s="117"/>
      <c r="N131" s="91"/>
      <c r="O131" s="91"/>
      <c r="P131" s="91"/>
      <c r="Q131" s="91"/>
      <c r="R131" s="91"/>
      <c r="S131" s="91"/>
      <c r="T131" s="91"/>
      <c r="U131" s="91"/>
      <c r="V131" s="91"/>
      <c r="W131" s="91"/>
      <c r="X131" s="91"/>
      <c r="Y131" s="91"/>
      <c r="Z131" s="91"/>
    </row>
    <row r="132" ht="72.0" customHeight="1">
      <c r="A132" s="96">
        <v>2.0</v>
      </c>
      <c r="B132" s="101" t="s">
        <v>720</v>
      </c>
      <c r="C132" s="101" t="s">
        <v>103</v>
      </c>
      <c r="D132" s="101" t="s">
        <v>721</v>
      </c>
      <c r="E132" s="101"/>
      <c r="F132" s="101"/>
      <c r="G132" s="104" t="s">
        <v>722</v>
      </c>
      <c r="H132" s="103"/>
      <c r="I132" s="120" t="s">
        <v>715</v>
      </c>
      <c r="J132" s="101"/>
      <c r="K132" s="120" t="s">
        <v>715</v>
      </c>
      <c r="L132" s="103" t="s">
        <v>47</v>
      </c>
      <c r="M132" s="117"/>
      <c r="N132" s="91"/>
      <c r="O132" s="91"/>
      <c r="P132" s="91"/>
      <c r="Q132" s="91"/>
      <c r="R132" s="91"/>
      <c r="S132" s="91"/>
      <c r="T132" s="91"/>
      <c r="U132" s="91"/>
      <c r="V132" s="91"/>
      <c r="W132" s="91"/>
      <c r="X132" s="91"/>
      <c r="Y132" s="91"/>
      <c r="Z132" s="91"/>
    </row>
    <row r="133" ht="72.0" customHeight="1">
      <c r="A133" s="96">
        <v>3.0</v>
      </c>
      <c r="B133" s="101" t="s">
        <v>723</v>
      </c>
      <c r="C133" s="101" t="s">
        <v>103</v>
      </c>
      <c r="D133" s="101" t="s">
        <v>724</v>
      </c>
      <c r="E133" s="101"/>
      <c r="F133" s="101"/>
      <c r="G133" s="104" t="s">
        <v>725</v>
      </c>
      <c r="H133" s="101"/>
      <c r="I133" s="101"/>
      <c r="J133" s="101"/>
      <c r="K133" s="101"/>
      <c r="L133" s="103" t="s">
        <v>215</v>
      </c>
      <c r="M133" s="117"/>
      <c r="N133" s="91"/>
      <c r="O133" s="91"/>
      <c r="P133" s="91"/>
      <c r="Q133" s="91"/>
      <c r="R133" s="91"/>
      <c r="S133" s="91"/>
      <c r="T133" s="91"/>
      <c r="U133" s="91"/>
      <c r="V133" s="91"/>
      <c r="W133" s="91"/>
      <c r="X133" s="91"/>
      <c r="Y133" s="91"/>
      <c r="Z133" s="91"/>
    </row>
    <row r="134" ht="72.0" customHeight="1">
      <c r="A134" s="96"/>
      <c r="B134" s="101" t="s">
        <v>726</v>
      </c>
      <c r="C134" s="101" t="s">
        <v>104</v>
      </c>
      <c r="D134" s="101" t="s">
        <v>727</v>
      </c>
      <c r="E134" s="101"/>
      <c r="F134" s="102" t="s">
        <v>728</v>
      </c>
      <c r="G134" s="101" t="s">
        <v>729</v>
      </c>
      <c r="H134" s="101" t="s">
        <v>730</v>
      </c>
      <c r="I134" s="101"/>
      <c r="J134" s="101"/>
      <c r="K134" s="101"/>
      <c r="L134" s="101" t="s">
        <v>215</v>
      </c>
      <c r="M134" s="117"/>
      <c r="N134" s="91"/>
      <c r="O134" s="91"/>
      <c r="P134" s="91"/>
      <c r="Q134" s="91"/>
      <c r="R134" s="91"/>
      <c r="S134" s="91"/>
      <c r="T134" s="91"/>
      <c r="U134" s="91"/>
      <c r="V134" s="91"/>
      <c r="W134" s="91"/>
      <c r="X134" s="91"/>
      <c r="Y134" s="91"/>
      <c r="Z134" s="91"/>
    </row>
    <row r="135" ht="72.0" customHeight="1">
      <c r="A135" s="96"/>
      <c r="B135" s="101" t="s">
        <v>731</v>
      </c>
      <c r="C135" s="101" t="s">
        <v>104</v>
      </c>
      <c r="D135" s="101" t="s">
        <v>732</v>
      </c>
      <c r="E135" s="101"/>
      <c r="F135" s="102" t="s">
        <v>733</v>
      </c>
      <c r="G135" s="101" t="s">
        <v>734</v>
      </c>
      <c r="H135" s="101" t="s">
        <v>735</v>
      </c>
      <c r="I135" s="101"/>
      <c r="J135" s="101"/>
      <c r="K135" s="101"/>
      <c r="L135" s="101" t="s">
        <v>215</v>
      </c>
      <c r="M135" s="117"/>
      <c r="N135" s="91"/>
      <c r="O135" s="91"/>
      <c r="P135" s="91"/>
      <c r="Q135" s="91"/>
      <c r="R135" s="91"/>
      <c r="S135" s="91"/>
      <c r="T135" s="91"/>
      <c r="U135" s="91"/>
      <c r="V135" s="91"/>
      <c r="W135" s="91"/>
      <c r="X135" s="91"/>
      <c r="Y135" s="91"/>
      <c r="Z135" s="91"/>
    </row>
    <row r="136" ht="72.0" customHeight="1">
      <c r="A136" s="96"/>
      <c r="B136" s="101" t="s">
        <v>736</v>
      </c>
      <c r="C136" s="101" t="s">
        <v>104</v>
      </c>
      <c r="D136" s="101" t="s">
        <v>737</v>
      </c>
      <c r="E136" s="101"/>
      <c r="F136" s="102" t="s">
        <v>738</v>
      </c>
      <c r="G136" s="101" t="s">
        <v>739</v>
      </c>
      <c r="H136" s="101" t="s">
        <v>740</v>
      </c>
      <c r="I136" s="106"/>
      <c r="J136" s="101"/>
      <c r="K136" s="106"/>
      <c r="L136" s="101" t="s">
        <v>215</v>
      </c>
      <c r="M136" s="117"/>
      <c r="N136" s="91"/>
      <c r="O136" s="91"/>
      <c r="P136" s="91"/>
      <c r="Q136" s="91"/>
      <c r="R136" s="91"/>
      <c r="S136" s="91"/>
      <c r="T136" s="91"/>
      <c r="U136" s="91"/>
      <c r="V136" s="91"/>
      <c r="W136" s="91"/>
      <c r="X136" s="91"/>
      <c r="Y136" s="91"/>
      <c r="Z136" s="91"/>
    </row>
    <row r="137" ht="72.0" customHeight="1">
      <c r="A137" s="96"/>
      <c r="B137" s="101" t="s">
        <v>741</v>
      </c>
      <c r="C137" s="101" t="s">
        <v>104</v>
      </c>
      <c r="D137" s="101" t="s">
        <v>742</v>
      </c>
      <c r="E137" s="101"/>
      <c r="F137" s="102" t="s">
        <v>743</v>
      </c>
      <c r="G137" s="102" t="s">
        <v>744</v>
      </c>
      <c r="H137" s="101" t="s">
        <v>745</v>
      </c>
      <c r="I137" s="106"/>
      <c r="J137" s="101"/>
      <c r="K137" s="106"/>
      <c r="L137" s="101" t="s">
        <v>215</v>
      </c>
      <c r="M137" s="117"/>
      <c r="N137" s="91"/>
      <c r="O137" s="91"/>
      <c r="P137" s="91"/>
      <c r="Q137" s="91"/>
      <c r="R137" s="91"/>
      <c r="S137" s="91"/>
      <c r="T137" s="91"/>
      <c r="U137" s="91"/>
      <c r="V137" s="91"/>
      <c r="W137" s="91"/>
      <c r="X137" s="91"/>
      <c r="Y137" s="91"/>
      <c r="Z137" s="91"/>
    </row>
    <row r="138" ht="72.0" customHeight="1">
      <c r="A138" s="96"/>
      <c r="B138" s="101" t="s">
        <v>746</v>
      </c>
      <c r="C138" s="101" t="s">
        <v>104</v>
      </c>
      <c r="D138" s="101" t="s">
        <v>747</v>
      </c>
      <c r="E138" s="101"/>
      <c r="F138" s="102" t="s">
        <v>748</v>
      </c>
      <c r="G138" s="102" t="s">
        <v>749</v>
      </c>
      <c r="H138" s="101" t="s">
        <v>750</v>
      </c>
      <c r="I138" s="106"/>
      <c r="J138" s="101"/>
      <c r="K138" s="106"/>
      <c r="L138" s="101" t="s">
        <v>215</v>
      </c>
      <c r="M138" s="91"/>
      <c r="N138" s="91"/>
      <c r="O138" s="91"/>
      <c r="P138" s="91"/>
      <c r="Q138" s="91"/>
      <c r="R138" s="91"/>
      <c r="S138" s="91"/>
      <c r="T138" s="91"/>
      <c r="U138" s="91"/>
      <c r="V138" s="91"/>
      <c r="W138" s="91"/>
      <c r="X138" s="91"/>
      <c r="Y138" s="91"/>
      <c r="Z138" s="91"/>
    </row>
    <row r="139" ht="72.0" customHeight="1">
      <c r="A139" s="96">
        <v>2.0</v>
      </c>
      <c r="B139" s="101" t="s">
        <v>751</v>
      </c>
      <c r="C139" s="101" t="s">
        <v>104</v>
      </c>
      <c r="D139" s="101" t="s">
        <v>752</v>
      </c>
      <c r="E139" s="101"/>
      <c r="F139" s="101"/>
      <c r="G139" s="104" t="s">
        <v>753</v>
      </c>
      <c r="H139" s="101"/>
      <c r="I139" s="101"/>
      <c r="J139" s="101"/>
      <c r="K139" s="101"/>
      <c r="L139" s="103" t="s">
        <v>215</v>
      </c>
      <c r="M139" s="117"/>
      <c r="N139" s="91"/>
      <c r="O139" s="91"/>
      <c r="P139" s="91"/>
      <c r="Q139" s="91"/>
      <c r="R139" s="91"/>
      <c r="S139" s="91"/>
      <c r="T139" s="91"/>
      <c r="U139" s="91"/>
      <c r="V139" s="91"/>
      <c r="W139" s="91"/>
      <c r="X139" s="91"/>
      <c r="Y139" s="91"/>
      <c r="Z139" s="91"/>
    </row>
    <row r="140" ht="72.0" customHeight="1">
      <c r="A140" s="96">
        <v>2.0</v>
      </c>
      <c r="B140" s="101" t="s">
        <v>754</v>
      </c>
      <c r="C140" s="101" t="s">
        <v>104</v>
      </c>
      <c r="D140" s="101" t="s">
        <v>755</v>
      </c>
      <c r="E140" s="101"/>
      <c r="F140" s="101"/>
      <c r="G140" s="104" t="s">
        <v>756</v>
      </c>
      <c r="H140" s="103" t="s">
        <v>757</v>
      </c>
      <c r="I140" s="101"/>
      <c r="J140" s="101"/>
      <c r="K140" s="101"/>
      <c r="L140" s="103" t="s">
        <v>215</v>
      </c>
      <c r="M140" s="117"/>
      <c r="N140" s="91"/>
      <c r="O140" s="91"/>
      <c r="P140" s="91"/>
      <c r="Q140" s="91"/>
      <c r="R140" s="91"/>
      <c r="S140" s="91"/>
      <c r="T140" s="91"/>
      <c r="U140" s="91"/>
      <c r="V140" s="91"/>
      <c r="W140" s="91"/>
      <c r="X140" s="91"/>
      <c r="Y140" s="91"/>
      <c r="Z140" s="91"/>
    </row>
    <row r="141" ht="72.0" customHeight="1">
      <c r="A141" s="96">
        <v>2.0</v>
      </c>
      <c r="B141" s="101" t="s">
        <v>758</v>
      </c>
      <c r="C141" s="101" t="s">
        <v>104</v>
      </c>
      <c r="D141" s="101" t="s">
        <v>759</v>
      </c>
      <c r="E141" s="101"/>
      <c r="F141" s="101"/>
      <c r="G141" s="104" t="s">
        <v>760</v>
      </c>
      <c r="H141" s="101"/>
      <c r="I141" s="103" t="s">
        <v>761</v>
      </c>
      <c r="J141" s="101"/>
      <c r="K141" s="103" t="s">
        <v>762</v>
      </c>
      <c r="L141" s="103" t="s">
        <v>47</v>
      </c>
      <c r="M141" s="91"/>
      <c r="N141" s="91"/>
      <c r="O141" s="91"/>
      <c r="P141" s="91"/>
      <c r="Q141" s="91"/>
      <c r="R141" s="91"/>
      <c r="S141" s="91"/>
      <c r="T141" s="91"/>
      <c r="U141" s="91"/>
      <c r="V141" s="91"/>
      <c r="W141" s="91"/>
      <c r="X141" s="91"/>
      <c r="Y141" s="91"/>
      <c r="Z141" s="91"/>
    </row>
    <row r="142" ht="72.0" customHeight="1">
      <c r="A142" s="96">
        <v>3.0</v>
      </c>
      <c r="B142" s="101" t="s">
        <v>763</v>
      </c>
      <c r="C142" s="101" t="s">
        <v>104</v>
      </c>
      <c r="D142" s="101" t="s">
        <v>764</v>
      </c>
      <c r="E142" s="101"/>
      <c r="F142" s="101"/>
      <c r="G142" s="104" t="s">
        <v>765</v>
      </c>
      <c r="H142" s="101"/>
      <c r="I142" s="101"/>
      <c r="J142" s="101"/>
      <c r="K142" s="101"/>
      <c r="L142" s="103" t="s">
        <v>215</v>
      </c>
      <c r="M142" s="117"/>
      <c r="N142" s="91"/>
      <c r="O142" s="91"/>
      <c r="P142" s="91"/>
      <c r="Q142" s="91"/>
      <c r="R142" s="91"/>
      <c r="S142" s="91"/>
      <c r="T142" s="91"/>
      <c r="U142" s="91"/>
      <c r="V142" s="91"/>
      <c r="W142" s="91"/>
      <c r="X142" s="91"/>
      <c r="Y142" s="91"/>
      <c r="Z142" s="91"/>
    </row>
    <row r="143" ht="72.0" customHeight="1">
      <c r="A143" s="96"/>
      <c r="B143" s="101" t="s">
        <v>766</v>
      </c>
      <c r="C143" s="101" t="s">
        <v>105</v>
      </c>
      <c r="D143" s="101" t="s">
        <v>767</v>
      </c>
      <c r="E143" s="101"/>
      <c r="F143" s="102" t="s">
        <v>768</v>
      </c>
      <c r="G143" s="101" t="s">
        <v>769</v>
      </c>
      <c r="H143" s="103" t="s">
        <v>770</v>
      </c>
      <c r="I143" s="101"/>
      <c r="J143" s="101"/>
      <c r="K143" s="101"/>
      <c r="L143" s="103" t="s">
        <v>215</v>
      </c>
      <c r="M143" s="91"/>
      <c r="N143" s="91"/>
      <c r="O143" s="91"/>
      <c r="P143" s="91"/>
      <c r="Q143" s="91"/>
      <c r="R143" s="91"/>
      <c r="S143" s="91"/>
      <c r="T143" s="91"/>
      <c r="U143" s="91"/>
      <c r="V143" s="91"/>
      <c r="W143" s="91"/>
      <c r="X143" s="91"/>
      <c r="Y143" s="91"/>
      <c r="Z143" s="91"/>
    </row>
    <row r="144" ht="72.0" customHeight="1">
      <c r="A144" s="96"/>
      <c r="B144" s="101" t="s">
        <v>771</v>
      </c>
      <c r="C144" s="101" t="s">
        <v>105</v>
      </c>
      <c r="D144" s="101" t="s">
        <v>772</v>
      </c>
      <c r="E144" s="101"/>
      <c r="F144" s="102" t="s">
        <v>773</v>
      </c>
      <c r="G144" s="101" t="s">
        <v>774</v>
      </c>
      <c r="H144" s="101" t="s">
        <v>775</v>
      </c>
      <c r="I144" s="106"/>
      <c r="J144" s="101"/>
      <c r="K144" s="106"/>
      <c r="L144" s="101" t="s">
        <v>215</v>
      </c>
      <c r="M144" s="117"/>
      <c r="N144" s="91"/>
      <c r="O144" s="91"/>
      <c r="P144" s="91"/>
      <c r="Q144" s="91"/>
      <c r="R144" s="91"/>
      <c r="S144" s="91"/>
      <c r="T144" s="91"/>
      <c r="U144" s="91"/>
      <c r="V144" s="91"/>
      <c r="W144" s="91"/>
      <c r="X144" s="91"/>
      <c r="Y144" s="91"/>
      <c r="Z144" s="91"/>
    </row>
    <row r="145" ht="72.0" customHeight="1">
      <c r="A145" s="96"/>
      <c r="B145" s="101" t="s">
        <v>776</v>
      </c>
      <c r="C145" s="101" t="s">
        <v>105</v>
      </c>
      <c r="D145" s="101" t="s">
        <v>777</v>
      </c>
      <c r="E145" s="101"/>
      <c r="F145" s="102" t="s">
        <v>778</v>
      </c>
      <c r="G145" s="101" t="s">
        <v>779</v>
      </c>
      <c r="H145" s="101"/>
      <c r="I145" s="106"/>
      <c r="J145" s="101"/>
      <c r="K145" s="106"/>
      <c r="L145" s="101" t="s">
        <v>215</v>
      </c>
      <c r="M145" s="117"/>
      <c r="N145" s="91"/>
      <c r="O145" s="91"/>
      <c r="P145" s="91"/>
      <c r="Q145" s="91"/>
      <c r="R145" s="91"/>
      <c r="S145" s="91"/>
      <c r="T145" s="91"/>
      <c r="U145" s="91"/>
      <c r="V145" s="91"/>
      <c r="W145" s="91"/>
      <c r="X145" s="91"/>
      <c r="Y145" s="91"/>
      <c r="Z145" s="91"/>
    </row>
    <row r="146" ht="72.0" customHeight="1">
      <c r="A146" s="96">
        <v>2.0</v>
      </c>
      <c r="B146" s="101" t="s">
        <v>780</v>
      </c>
      <c r="C146" s="101" t="s">
        <v>105</v>
      </c>
      <c r="D146" s="101" t="s">
        <v>781</v>
      </c>
      <c r="E146" s="101"/>
      <c r="F146" s="101"/>
      <c r="G146" s="104" t="s">
        <v>782</v>
      </c>
      <c r="H146" s="101"/>
      <c r="I146" s="101"/>
      <c r="J146" s="101"/>
      <c r="K146" s="101"/>
      <c r="L146" s="103" t="s">
        <v>215</v>
      </c>
      <c r="M146" s="91"/>
      <c r="N146" s="91"/>
      <c r="O146" s="91"/>
      <c r="P146" s="91"/>
      <c r="Q146" s="91"/>
      <c r="R146" s="91"/>
      <c r="S146" s="91"/>
      <c r="T146" s="91"/>
      <c r="U146" s="91"/>
      <c r="V146" s="91"/>
      <c r="W146" s="91"/>
      <c r="X146" s="91"/>
      <c r="Y146" s="91"/>
      <c r="Z146" s="91"/>
    </row>
    <row r="147" ht="72.0" customHeight="1">
      <c r="A147" s="96">
        <v>3.0</v>
      </c>
      <c r="B147" s="101" t="s">
        <v>783</v>
      </c>
      <c r="C147" s="101" t="s">
        <v>105</v>
      </c>
      <c r="D147" s="103" t="s">
        <v>784</v>
      </c>
      <c r="E147" s="101"/>
      <c r="F147" s="101"/>
      <c r="G147" s="104" t="s">
        <v>785</v>
      </c>
      <c r="H147" s="101"/>
      <c r="I147" s="101"/>
      <c r="J147" s="101"/>
      <c r="K147" s="101"/>
      <c r="L147" s="103" t="s">
        <v>215</v>
      </c>
      <c r="M147" s="91"/>
      <c r="N147" s="91"/>
      <c r="O147" s="91"/>
      <c r="P147" s="91"/>
      <c r="Q147" s="91"/>
      <c r="R147" s="91"/>
      <c r="S147" s="91"/>
      <c r="T147" s="91"/>
      <c r="U147" s="91"/>
      <c r="V147" s="91"/>
      <c r="W147" s="91"/>
      <c r="X147" s="91"/>
      <c r="Y147" s="91"/>
      <c r="Z147" s="91"/>
    </row>
    <row r="148" ht="72.0" customHeight="1">
      <c r="A148" s="96"/>
      <c r="B148" s="101" t="s">
        <v>786</v>
      </c>
      <c r="C148" s="101" t="s">
        <v>106</v>
      </c>
      <c r="D148" s="101" t="s">
        <v>787</v>
      </c>
      <c r="E148" s="101"/>
      <c r="F148" s="102" t="s">
        <v>788</v>
      </c>
      <c r="G148" s="102" t="s">
        <v>789</v>
      </c>
      <c r="H148" s="101"/>
      <c r="I148" s="101"/>
      <c r="J148" s="101"/>
      <c r="K148" s="101"/>
      <c r="L148" s="101" t="s">
        <v>215</v>
      </c>
      <c r="M148" s="91"/>
      <c r="N148" s="91"/>
      <c r="O148" s="91"/>
      <c r="P148" s="91"/>
      <c r="Q148" s="91"/>
      <c r="R148" s="91"/>
      <c r="S148" s="91"/>
      <c r="T148" s="91"/>
      <c r="U148" s="91"/>
      <c r="V148" s="91"/>
      <c r="W148" s="91"/>
      <c r="X148" s="91"/>
      <c r="Y148" s="91"/>
      <c r="Z148" s="91"/>
    </row>
    <row r="149" ht="72.0" customHeight="1">
      <c r="A149" s="96"/>
      <c r="B149" s="101" t="s">
        <v>790</v>
      </c>
      <c r="C149" s="101" t="s">
        <v>106</v>
      </c>
      <c r="D149" s="101" t="s">
        <v>791</v>
      </c>
      <c r="E149" s="101"/>
      <c r="F149" s="102" t="s">
        <v>792</v>
      </c>
      <c r="G149" s="102" t="s">
        <v>793</v>
      </c>
      <c r="H149" s="101"/>
      <c r="I149" s="101"/>
      <c r="J149" s="101"/>
      <c r="K149" s="101"/>
      <c r="L149" s="103" t="s">
        <v>215</v>
      </c>
      <c r="M149" s="91"/>
      <c r="N149" s="91"/>
      <c r="O149" s="91"/>
      <c r="P149" s="91"/>
      <c r="Q149" s="91"/>
      <c r="R149" s="91"/>
      <c r="S149" s="91"/>
      <c r="T149" s="91"/>
      <c r="U149" s="91"/>
      <c r="V149" s="91"/>
      <c r="W149" s="91"/>
      <c r="X149" s="91"/>
      <c r="Y149" s="91"/>
      <c r="Z149" s="91"/>
    </row>
    <row r="150" ht="72.0" customHeight="1">
      <c r="A150" s="96"/>
      <c r="B150" s="101" t="s">
        <v>794</v>
      </c>
      <c r="C150" s="101" t="s">
        <v>106</v>
      </c>
      <c r="D150" s="101" t="s">
        <v>795</v>
      </c>
      <c r="E150" s="101"/>
      <c r="F150" s="102" t="s">
        <v>796</v>
      </c>
      <c r="G150" s="102" t="s">
        <v>797</v>
      </c>
      <c r="H150" s="103"/>
      <c r="I150" s="101"/>
      <c r="J150" s="101"/>
      <c r="K150" s="101"/>
      <c r="L150" s="103" t="s">
        <v>215</v>
      </c>
      <c r="M150" s="91"/>
      <c r="N150" s="91"/>
      <c r="O150" s="91"/>
      <c r="P150" s="91"/>
      <c r="Q150" s="91"/>
      <c r="R150" s="91"/>
      <c r="S150" s="91"/>
      <c r="T150" s="91"/>
      <c r="U150" s="91"/>
      <c r="V150" s="91"/>
      <c r="W150" s="91"/>
      <c r="X150" s="91"/>
      <c r="Y150" s="91"/>
      <c r="Z150" s="91"/>
    </row>
    <row r="151" ht="72.0" customHeight="1">
      <c r="A151" s="96">
        <v>2.0</v>
      </c>
      <c r="B151" s="101" t="s">
        <v>798</v>
      </c>
      <c r="C151" s="101" t="s">
        <v>106</v>
      </c>
      <c r="D151" s="101" t="s">
        <v>799</v>
      </c>
      <c r="E151" s="101"/>
      <c r="F151" s="101"/>
      <c r="G151" s="104" t="s">
        <v>800</v>
      </c>
      <c r="H151" s="101"/>
      <c r="I151" s="106"/>
      <c r="J151" s="101"/>
      <c r="K151" s="106"/>
      <c r="L151" s="103" t="s">
        <v>215</v>
      </c>
      <c r="M151" s="91"/>
      <c r="N151" s="91"/>
      <c r="O151" s="91"/>
      <c r="P151" s="91"/>
      <c r="Q151" s="91"/>
      <c r="R151" s="91"/>
      <c r="S151" s="91"/>
      <c r="T151" s="91"/>
      <c r="U151" s="91"/>
      <c r="V151" s="91"/>
      <c r="W151" s="91"/>
      <c r="X151" s="91"/>
      <c r="Y151" s="91"/>
      <c r="Z151" s="91"/>
    </row>
    <row r="152" ht="72.0" customHeight="1">
      <c r="A152" s="96">
        <v>2.0</v>
      </c>
      <c r="B152" s="101" t="s">
        <v>801</v>
      </c>
      <c r="C152" s="101" t="s">
        <v>106</v>
      </c>
      <c r="D152" s="101" t="s">
        <v>802</v>
      </c>
      <c r="E152" s="101"/>
      <c r="F152" s="101"/>
      <c r="G152" s="104" t="s">
        <v>803</v>
      </c>
      <c r="H152" s="101"/>
      <c r="I152" s="103" t="s">
        <v>804</v>
      </c>
      <c r="J152" s="101"/>
      <c r="K152" s="106"/>
      <c r="L152" s="103" t="s">
        <v>47</v>
      </c>
      <c r="M152" s="91"/>
      <c r="N152" s="91"/>
      <c r="O152" s="91"/>
      <c r="P152" s="91"/>
      <c r="Q152" s="91"/>
      <c r="R152" s="91"/>
      <c r="S152" s="91"/>
      <c r="T152" s="91"/>
      <c r="U152" s="91"/>
      <c r="V152" s="91"/>
      <c r="W152" s="91"/>
      <c r="X152" s="91"/>
      <c r="Y152" s="91"/>
      <c r="Z152" s="91"/>
    </row>
    <row r="153" ht="72.0" customHeight="1">
      <c r="A153" s="96">
        <v>2.0</v>
      </c>
      <c r="B153" s="101" t="s">
        <v>805</v>
      </c>
      <c r="C153" s="101" t="s">
        <v>106</v>
      </c>
      <c r="D153" s="101" t="s">
        <v>806</v>
      </c>
      <c r="E153" s="101"/>
      <c r="F153" s="101"/>
      <c r="G153" s="104" t="s">
        <v>807</v>
      </c>
      <c r="H153" s="101"/>
      <c r="I153" s="103" t="s">
        <v>808</v>
      </c>
      <c r="J153" s="101"/>
      <c r="K153" s="106"/>
      <c r="L153" s="103" t="s">
        <v>47</v>
      </c>
      <c r="M153" s="91"/>
      <c r="N153" s="91"/>
      <c r="O153" s="91"/>
      <c r="P153" s="91"/>
      <c r="Q153" s="91"/>
      <c r="R153" s="91"/>
      <c r="S153" s="91"/>
      <c r="T153" s="91"/>
      <c r="U153" s="91"/>
      <c r="V153" s="91"/>
      <c r="W153" s="91"/>
      <c r="X153" s="91"/>
      <c r="Y153" s="91"/>
      <c r="Z153" s="91"/>
    </row>
    <row r="154" ht="72.0" customHeight="1">
      <c r="A154" s="96">
        <v>2.0</v>
      </c>
      <c r="B154" s="101" t="s">
        <v>809</v>
      </c>
      <c r="C154" s="101" t="s">
        <v>106</v>
      </c>
      <c r="D154" s="101" t="s">
        <v>810</v>
      </c>
      <c r="E154" s="101"/>
      <c r="F154" s="101"/>
      <c r="G154" s="104" t="s">
        <v>811</v>
      </c>
      <c r="H154" s="101"/>
      <c r="I154" s="106"/>
      <c r="J154" s="101"/>
      <c r="K154" s="106"/>
      <c r="L154" s="103" t="s">
        <v>215</v>
      </c>
      <c r="M154" s="91"/>
      <c r="N154" s="91"/>
      <c r="O154" s="91"/>
      <c r="P154" s="91"/>
      <c r="Q154" s="91"/>
      <c r="R154" s="91"/>
      <c r="S154" s="91"/>
      <c r="T154" s="91"/>
      <c r="U154" s="91"/>
      <c r="V154" s="91"/>
      <c r="W154" s="91"/>
      <c r="X154" s="91"/>
      <c r="Y154" s="91"/>
      <c r="Z154" s="91"/>
    </row>
    <row r="155" ht="72.0" customHeight="1">
      <c r="A155" s="96">
        <v>3.0</v>
      </c>
      <c r="B155" s="101" t="s">
        <v>812</v>
      </c>
      <c r="C155" s="101" t="s">
        <v>106</v>
      </c>
      <c r="D155" s="101" t="s">
        <v>813</v>
      </c>
      <c r="E155" s="101"/>
      <c r="F155" s="101"/>
      <c r="G155" s="104" t="s">
        <v>814</v>
      </c>
      <c r="H155" s="101"/>
      <c r="I155" s="106"/>
      <c r="J155" s="101"/>
      <c r="K155" s="106"/>
      <c r="L155" s="103" t="s">
        <v>215</v>
      </c>
      <c r="M155" s="91"/>
      <c r="N155" s="91"/>
      <c r="O155" s="91"/>
      <c r="P155" s="91"/>
      <c r="Q155" s="91"/>
      <c r="R155" s="91"/>
      <c r="S155" s="91"/>
      <c r="T155" s="91"/>
      <c r="U155" s="91"/>
      <c r="V155" s="91"/>
      <c r="W155" s="91"/>
      <c r="X155" s="91"/>
      <c r="Y155" s="91"/>
      <c r="Z155" s="91"/>
    </row>
    <row r="156" ht="72.0" customHeight="1">
      <c r="A156" s="96"/>
      <c r="B156" s="101" t="s">
        <v>815</v>
      </c>
      <c r="C156" s="101" t="s">
        <v>816</v>
      </c>
      <c r="D156" s="101" t="s">
        <v>817</v>
      </c>
      <c r="E156" s="101"/>
      <c r="F156" s="102" t="s">
        <v>818</v>
      </c>
      <c r="G156" s="102" t="s">
        <v>819</v>
      </c>
      <c r="H156" s="101" t="s">
        <v>820</v>
      </c>
      <c r="I156" s="106"/>
      <c r="J156" s="101"/>
      <c r="K156" s="106"/>
      <c r="L156" s="101" t="s">
        <v>215</v>
      </c>
      <c r="M156" s="91"/>
      <c r="N156" s="91"/>
      <c r="O156" s="91"/>
      <c r="P156" s="91"/>
      <c r="Q156" s="91"/>
      <c r="R156" s="91"/>
      <c r="S156" s="91"/>
      <c r="T156" s="91"/>
      <c r="U156" s="91"/>
      <c r="V156" s="91"/>
      <c r="W156" s="91"/>
      <c r="X156" s="91"/>
      <c r="Y156" s="91"/>
      <c r="Z156" s="91"/>
    </row>
    <row r="157" ht="72.0" customHeight="1">
      <c r="A157" s="96"/>
      <c r="B157" s="101" t="s">
        <v>821</v>
      </c>
      <c r="C157" s="101" t="s">
        <v>816</v>
      </c>
      <c r="D157" s="101" t="s">
        <v>822</v>
      </c>
      <c r="E157" s="101"/>
      <c r="F157" s="102" t="s">
        <v>823</v>
      </c>
      <c r="G157" s="102" t="s">
        <v>824</v>
      </c>
      <c r="H157" s="106"/>
      <c r="I157" s="106"/>
      <c r="J157" s="101"/>
      <c r="K157" s="106"/>
      <c r="L157" s="101" t="s">
        <v>215</v>
      </c>
      <c r="M157" s="91"/>
      <c r="N157" s="91"/>
      <c r="O157" s="91"/>
      <c r="P157" s="91"/>
      <c r="Q157" s="91"/>
      <c r="R157" s="91"/>
      <c r="S157" s="91"/>
      <c r="T157" s="91"/>
      <c r="U157" s="91"/>
      <c r="V157" s="91"/>
      <c r="W157" s="91"/>
      <c r="X157" s="91"/>
      <c r="Y157" s="91"/>
      <c r="Z157" s="91"/>
    </row>
    <row r="158" ht="72.0" customHeight="1">
      <c r="A158" s="96"/>
      <c r="B158" s="101" t="s">
        <v>825</v>
      </c>
      <c r="C158" s="101" t="s">
        <v>816</v>
      </c>
      <c r="D158" s="101" t="s">
        <v>826</v>
      </c>
      <c r="E158" s="101"/>
      <c r="F158" s="102" t="s">
        <v>827</v>
      </c>
      <c r="G158" s="102" t="s">
        <v>828</v>
      </c>
      <c r="H158" s="101" t="s">
        <v>829</v>
      </c>
      <c r="I158" s="106"/>
      <c r="J158" s="101"/>
      <c r="K158" s="106"/>
      <c r="L158" s="101" t="s">
        <v>215</v>
      </c>
      <c r="M158" s="91"/>
      <c r="N158" s="91"/>
      <c r="O158" s="91"/>
      <c r="P158" s="91"/>
      <c r="Q158" s="91"/>
      <c r="R158" s="91"/>
      <c r="S158" s="91"/>
      <c r="T158" s="91"/>
      <c r="U158" s="91"/>
      <c r="V158" s="91"/>
      <c r="W158" s="91"/>
      <c r="X158" s="91"/>
      <c r="Y158" s="91"/>
      <c r="Z158" s="91"/>
    </row>
    <row r="159" ht="72.0" customHeight="1">
      <c r="A159" s="96"/>
      <c r="B159" s="101" t="s">
        <v>830</v>
      </c>
      <c r="C159" s="101" t="s">
        <v>816</v>
      </c>
      <c r="D159" s="101" t="s">
        <v>831</v>
      </c>
      <c r="E159" s="101"/>
      <c r="F159" s="102" t="s">
        <v>832</v>
      </c>
      <c r="G159" s="102" t="s">
        <v>833</v>
      </c>
      <c r="H159" s="101"/>
      <c r="I159" s="101"/>
      <c r="J159" s="101"/>
      <c r="K159" s="101"/>
      <c r="L159" s="103" t="s">
        <v>215</v>
      </c>
      <c r="M159" s="91"/>
      <c r="N159" s="91"/>
      <c r="O159" s="91"/>
      <c r="P159" s="91"/>
      <c r="Q159" s="91"/>
      <c r="R159" s="91"/>
      <c r="S159" s="91"/>
      <c r="T159" s="91"/>
      <c r="U159" s="91"/>
      <c r="V159" s="91"/>
      <c r="W159" s="91"/>
      <c r="X159" s="91"/>
      <c r="Y159" s="91"/>
      <c r="Z159" s="91"/>
    </row>
    <row r="160" ht="72.0" customHeight="1">
      <c r="A160" s="96">
        <v>2.0</v>
      </c>
      <c r="B160" s="101" t="s">
        <v>834</v>
      </c>
      <c r="C160" s="101" t="s">
        <v>816</v>
      </c>
      <c r="D160" s="101" t="s">
        <v>835</v>
      </c>
      <c r="E160" s="101"/>
      <c r="F160" s="101"/>
      <c r="G160" s="104" t="s">
        <v>836</v>
      </c>
      <c r="H160" s="101"/>
      <c r="I160" s="106"/>
      <c r="J160" s="101"/>
      <c r="K160" s="106"/>
      <c r="L160" s="103" t="s">
        <v>215</v>
      </c>
      <c r="M160" s="91"/>
      <c r="N160" s="91"/>
      <c r="O160" s="91"/>
      <c r="P160" s="91"/>
      <c r="Q160" s="91"/>
      <c r="R160" s="91"/>
      <c r="S160" s="91"/>
      <c r="T160" s="91"/>
      <c r="U160" s="91"/>
      <c r="V160" s="91"/>
      <c r="W160" s="91"/>
      <c r="X160" s="91"/>
      <c r="Y160" s="91"/>
      <c r="Z160" s="91"/>
    </row>
    <row r="161" ht="72.0" customHeight="1">
      <c r="A161" s="96">
        <v>2.0</v>
      </c>
      <c r="B161" s="101" t="s">
        <v>837</v>
      </c>
      <c r="C161" s="101" t="s">
        <v>816</v>
      </c>
      <c r="D161" s="101" t="s">
        <v>838</v>
      </c>
      <c r="E161" s="101"/>
      <c r="F161" s="101"/>
      <c r="G161" s="104" t="s">
        <v>839</v>
      </c>
      <c r="H161" s="103" t="s">
        <v>840</v>
      </c>
      <c r="I161" s="106"/>
      <c r="J161" s="101"/>
      <c r="K161" s="106"/>
      <c r="L161" s="103" t="s">
        <v>215</v>
      </c>
      <c r="M161" s="91"/>
      <c r="N161" s="91"/>
      <c r="O161" s="91"/>
      <c r="P161" s="91"/>
      <c r="Q161" s="91"/>
      <c r="R161" s="91"/>
      <c r="S161" s="91"/>
      <c r="T161" s="91"/>
      <c r="U161" s="91"/>
      <c r="V161" s="91"/>
      <c r="W161" s="91"/>
      <c r="X161" s="91"/>
      <c r="Y161" s="91"/>
      <c r="Z161" s="91"/>
    </row>
    <row r="162" ht="72.0" customHeight="1">
      <c r="A162" s="96">
        <v>3.0</v>
      </c>
      <c r="B162" s="101" t="s">
        <v>841</v>
      </c>
      <c r="C162" s="101" t="s">
        <v>816</v>
      </c>
      <c r="D162" s="103" t="s">
        <v>842</v>
      </c>
      <c r="E162" s="101"/>
      <c r="F162" s="101"/>
      <c r="G162" s="104" t="s">
        <v>843</v>
      </c>
      <c r="H162" s="101"/>
      <c r="I162" s="106"/>
      <c r="J162" s="101"/>
      <c r="K162" s="106"/>
      <c r="L162" s="103" t="s">
        <v>215</v>
      </c>
      <c r="M162" s="91"/>
      <c r="N162" s="91"/>
      <c r="O162" s="91"/>
      <c r="P162" s="91"/>
      <c r="Q162" s="91"/>
      <c r="R162" s="91"/>
      <c r="S162" s="91"/>
      <c r="T162" s="91"/>
      <c r="U162" s="91"/>
      <c r="V162" s="91"/>
      <c r="W162" s="91"/>
      <c r="X162" s="91"/>
      <c r="Y162" s="91"/>
      <c r="Z162" s="91"/>
    </row>
    <row r="163" ht="72.0" customHeight="1">
      <c r="A163" s="96"/>
      <c r="B163" s="101" t="s">
        <v>844</v>
      </c>
      <c r="C163" s="101" t="s">
        <v>108</v>
      </c>
      <c r="D163" s="101" t="s">
        <v>845</v>
      </c>
      <c r="E163" s="101"/>
      <c r="F163" s="102" t="s">
        <v>846</v>
      </c>
      <c r="G163" s="102" t="s">
        <v>847</v>
      </c>
      <c r="H163" s="102" t="s">
        <v>848</v>
      </c>
      <c r="I163" s="106"/>
      <c r="J163" s="101"/>
      <c r="K163" s="106"/>
      <c r="L163" s="101" t="s">
        <v>215</v>
      </c>
      <c r="M163" s="91"/>
      <c r="N163" s="91"/>
      <c r="O163" s="91"/>
      <c r="P163" s="91"/>
      <c r="Q163" s="91"/>
      <c r="R163" s="91"/>
      <c r="S163" s="91"/>
      <c r="T163" s="91"/>
      <c r="U163" s="91"/>
      <c r="V163" s="91"/>
      <c r="W163" s="91"/>
      <c r="X163" s="91"/>
      <c r="Y163" s="91"/>
      <c r="Z163" s="91"/>
    </row>
    <row r="164" ht="72.0" customHeight="1">
      <c r="A164" s="96"/>
      <c r="B164" s="101" t="s">
        <v>849</v>
      </c>
      <c r="C164" s="101" t="s">
        <v>108</v>
      </c>
      <c r="D164" s="101" t="s">
        <v>850</v>
      </c>
      <c r="E164" s="101"/>
      <c r="F164" s="102" t="s">
        <v>851</v>
      </c>
      <c r="G164" s="102" t="s">
        <v>852</v>
      </c>
      <c r="H164" s="106"/>
      <c r="I164" s="106"/>
      <c r="J164" s="101"/>
      <c r="K164" s="106"/>
      <c r="L164" s="101" t="s">
        <v>215</v>
      </c>
      <c r="M164" s="91"/>
      <c r="N164" s="91"/>
      <c r="O164" s="91"/>
      <c r="P164" s="91"/>
      <c r="Q164" s="91"/>
      <c r="R164" s="91"/>
      <c r="S164" s="91"/>
      <c r="T164" s="91"/>
      <c r="U164" s="91"/>
      <c r="V164" s="91"/>
      <c r="W164" s="91"/>
      <c r="X164" s="91"/>
      <c r="Y164" s="91"/>
      <c r="Z164" s="91"/>
    </row>
    <row r="165" ht="72.0" customHeight="1">
      <c r="A165" s="96"/>
      <c r="B165" s="101" t="s">
        <v>853</v>
      </c>
      <c r="C165" s="101" t="s">
        <v>108</v>
      </c>
      <c r="D165" s="101" t="s">
        <v>854</v>
      </c>
      <c r="E165" s="101"/>
      <c r="F165" s="102" t="s">
        <v>855</v>
      </c>
      <c r="G165" s="102" t="s">
        <v>856</v>
      </c>
      <c r="H165" s="106"/>
      <c r="I165" s="106"/>
      <c r="J165" s="106"/>
      <c r="K165" s="106"/>
      <c r="L165" s="101" t="s">
        <v>215</v>
      </c>
      <c r="M165" s="91"/>
      <c r="N165" s="91"/>
      <c r="O165" s="91"/>
      <c r="P165" s="91"/>
      <c r="Q165" s="91"/>
      <c r="R165" s="91"/>
      <c r="S165" s="91"/>
      <c r="T165" s="91"/>
      <c r="U165" s="91"/>
      <c r="V165" s="91"/>
      <c r="W165" s="91"/>
      <c r="X165" s="91"/>
      <c r="Y165" s="91"/>
      <c r="Z165" s="91"/>
    </row>
    <row r="166" ht="72.0" customHeight="1">
      <c r="A166" s="96"/>
      <c r="B166" s="101" t="s">
        <v>857</v>
      </c>
      <c r="C166" s="101" t="s">
        <v>108</v>
      </c>
      <c r="D166" s="101" t="s">
        <v>858</v>
      </c>
      <c r="E166" s="101"/>
      <c r="F166" s="102" t="s">
        <v>859</v>
      </c>
      <c r="G166" s="101" t="s">
        <v>860</v>
      </c>
      <c r="H166" s="103" t="s">
        <v>861</v>
      </c>
      <c r="I166" s="106"/>
      <c r="J166" s="106"/>
      <c r="K166" s="106"/>
      <c r="L166" s="101" t="s">
        <v>90</v>
      </c>
      <c r="M166" s="91"/>
      <c r="N166" s="91"/>
      <c r="O166" s="91"/>
      <c r="P166" s="91"/>
      <c r="Q166" s="91"/>
      <c r="R166" s="91"/>
      <c r="S166" s="91"/>
      <c r="T166" s="91"/>
      <c r="U166" s="91"/>
      <c r="V166" s="91"/>
      <c r="W166" s="91"/>
      <c r="X166" s="91"/>
      <c r="Y166" s="91"/>
      <c r="Z166" s="91"/>
    </row>
    <row r="167" ht="72.0" customHeight="1">
      <c r="A167" s="96">
        <v>2.0</v>
      </c>
      <c r="B167" s="101" t="s">
        <v>862</v>
      </c>
      <c r="C167" s="101" t="s">
        <v>108</v>
      </c>
      <c r="D167" s="101" t="s">
        <v>863</v>
      </c>
      <c r="E167" s="101"/>
      <c r="F167" s="101"/>
      <c r="G167" s="104" t="s">
        <v>864</v>
      </c>
      <c r="H167" s="101"/>
      <c r="I167" s="106"/>
      <c r="J167" s="101"/>
      <c r="K167" s="101"/>
      <c r="L167" s="103" t="s">
        <v>215</v>
      </c>
      <c r="M167" s="91"/>
      <c r="N167" s="91"/>
      <c r="O167" s="91"/>
      <c r="P167" s="91"/>
      <c r="Q167" s="91"/>
      <c r="R167" s="91"/>
      <c r="S167" s="91"/>
      <c r="T167" s="91"/>
      <c r="U167" s="91"/>
      <c r="V167" s="91"/>
      <c r="W167" s="91"/>
      <c r="X167" s="91"/>
      <c r="Y167" s="91"/>
      <c r="Z167" s="91"/>
    </row>
    <row r="168" ht="72.0" customHeight="1">
      <c r="A168" s="96">
        <v>3.0</v>
      </c>
      <c r="B168" s="101" t="s">
        <v>865</v>
      </c>
      <c r="C168" s="101" t="s">
        <v>108</v>
      </c>
      <c r="D168" s="101" t="s">
        <v>866</v>
      </c>
      <c r="E168" s="101"/>
      <c r="F168" s="101"/>
      <c r="G168" s="104" t="s">
        <v>867</v>
      </c>
      <c r="H168" s="101"/>
      <c r="I168" s="106"/>
      <c r="J168" s="101"/>
      <c r="K168" s="101"/>
      <c r="L168" s="103" t="s">
        <v>215</v>
      </c>
      <c r="M168" s="91"/>
      <c r="N168" s="91"/>
      <c r="O168" s="91"/>
      <c r="P168" s="91"/>
      <c r="Q168" s="91"/>
      <c r="R168" s="91"/>
      <c r="S168" s="91"/>
      <c r="T168" s="91"/>
      <c r="U168" s="91"/>
      <c r="V168" s="91"/>
      <c r="W168" s="91"/>
      <c r="X168" s="91"/>
      <c r="Y168" s="91"/>
      <c r="Z168" s="91"/>
    </row>
    <row r="169" ht="72.0" customHeight="1">
      <c r="A169" s="96"/>
      <c r="B169" s="101" t="s">
        <v>868</v>
      </c>
      <c r="C169" s="101" t="s">
        <v>109</v>
      </c>
      <c r="D169" s="101" t="s">
        <v>869</v>
      </c>
      <c r="E169" s="101"/>
      <c r="F169" s="102" t="s">
        <v>870</v>
      </c>
      <c r="G169" s="102" t="s">
        <v>871</v>
      </c>
      <c r="H169" s="102" t="s">
        <v>872</v>
      </c>
      <c r="I169" s="106"/>
      <c r="J169" s="101"/>
      <c r="K169" s="101"/>
      <c r="L169" s="101" t="s">
        <v>215</v>
      </c>
      <c r="M169" s="91"/>
      <c r="N169" s="91"/>
      <c r="O169" s="91"/>
      <c r="P169" s="91"/>
      <c r="Q169" s="91"/>
      <c r="R169" s="91"/>
      <c r="S169" s="91"/>
      <c r="T169" s="91"/>
      <c r="U169" s="91"/>
      <c r="V169" s="91"/>
      <c r="W169" s="91"/>
      <c r="X169" s="91"/>
      <c r="Y169" s="91"/>
      <c r="Z169" s="91"/>
    </row>
    <row r="170" ht="72.0" customHeight="1">
      <c r="A170" s="96"/>
      <c r="B170" s="101" t="s">
        <v>873</v>
      </c>
      <c r="C170" s="101" t="s">
        <v>109</v>
      </c>
      <c r="D170" s="101" t="s">
        <v>874</v>
      </c>
      <c r="E170" s="101"/>
      <c r="F170" s="102" t="s">
        <v>875</v>
      </c>
      <c r="G170" s="102" t="s">
        <v>876</v>
      </c>
      <c r="H170" s="106"/>
      <c r="I170" s="106"/>
      <c r="J170" s="101"/>
      <c r="K170" s="106"/>
      <c r="L170" s="101" t="s">
        <v>215</v>
      </c>
      <c r="M170" s="91"/>
      <c r="N170" s="91"/>
      <c r="O170" s="91"/>
      <c r="P170" s="91"/>
      <c r="Q170" s="91"/>
      <c r="R170" s="91"/>
      <c r="S170" s="91"/>
      <c r="T170" s="91"/>
      <c r="U170" s="91"/>
      <c r="V170" s="91"/>
      <c r="W170" s="91"/>
      <c r="X170" s="91"/>
      <c r="Y170" s="91"/>
      <c r="Z170" s="91"/>
    </row>
    <row r="171" ht="72.0" customHeight="1">
      <c r="A171" s="96"/>
      <c r="B171" s="101" t="s">
        <v>877</v>
      </c>
      <c r="C171" s="101" t="s">
        <v>109</v>
      </c>
      <c r="D171" s="101" t="s">
        <v>878</v>
      </c>
      <c r="E171" s="101"/>
      <c r="F171" s="102" t="s">
        <v>879</v>
      </c>
      <c r="G171" s="102" t="s">
        <v>880</v>
      </c>
      <c r="I171" s="121" t="s">
        <v>881</v>
      </c>
      <c r="J171" s="101"/>
      <c r="K171" s="106"/>
      <c r="L171" s="103" t="s">
        <v>47</v>
      </c>
      <c r="M171" s="91"/>
      <c r="N171" s="91"/>
      <c r="O171" s="91"/>
      <c r="P171" s="91"/>
      <c r="Q171" s="91"/>
      <c r="R171" s="91"/>
      <c r="S171" s="91"/>
      <c r="T171" s="91"/>
      <c r="U171" s="91"/>
      <c r="V171" s="91"/>
      <c r="W171" s="91"/>
      <c r="X171" s="91"/>
      <c r="Y171" s="91"/>
      <c r="Z171" s="91"/>
    </row>
    <row r="172" ht="72.0" customHeight="1">
      <c r="A172" s="96"/>
      <c r="B172" s="101" t="s">
        <v>882</v>
      </c>
      <c r="C172" s="101" t="s">
        <v>109</v>
      </c>
      <c r="D172" s="101" t="s">
        <v>883</v>
      </c>
      <c r="E172" s="101"/>
      <c r="F172" s="102" t="s">
        <v>884</v>
      </c>
      <c r="G172" s="102" t="s">
        <v>885</v>
      </c>
      <c r="H172" s="106"/>
      <c r="I172" s="106"/>
      <c r="J172" s="106"/>
      <c r="K172" s="106"/>
      <c r="L172" s="103" t="s">
        <v>215</v>
      </c>
      <c r="M172" s="91"/>
      <c r="N172" s="91"/>
      <c r="O172" s="91"/>
      <c r="P172" s="91"/>
      <c r="Q172" s="91"/>
      <c r="R172" s="91"/>
      <c r="S172" s="91"/>
      <c r="T172" s="91"/>
      <c r="U172" s="91"/>
      <c r="V172" s="91"/>
      <c r="W172" s="91"/>
      <c r="X172" s="91"/>
      <c r="Y172" s="91"/>
      <c r="Z172" s="91"/>
    </row>
    <row r="173" ht="72.0" customHeight="1">
      <c r="A173" s="96">
        <v>2.0</v>
      </c>
      <c r="B173" s="101" t="s">
        <v>886</v>
      </c>
      <c r="C173" s="101" t="s">
        <v>109</v>
      </c>
      <c r="D173" s="101" t="s">
        <v>887</v>
      </c>
      <c r="E173" s="101"/>
      <c r="F173" s="101"/>
      <c r="G173" s="104" t="s">
        <v>888</v>
      </c>
      <c r="H173" s="101"/>
      <c r="I173" s="106"/>
      <c r="J173" s="101"/>
      <c r="K173" s="106"/>
      <c r="L173" s="103" t="s">
        <v>47</v>
      </c>
      <c r="M173" s="91"/>
      <c r="N173" s="91"/>
      <c r="O173" s="91"/>
      <c r="P173" s="91"/>
      <c r="Q173" s="91"/>
      <c r="R173" s="91"/>
      <c r="S173" s="91"/>
      <c r="T173" s="91"/>
      <c r="U173" s="91"/>
      <c r="V173" s="91"/>
      <c r="W173" s="91"/>
      <c r="X173" s="91"/>
      <c r="Y173" s="91"/>
      <c r="Z173" s="91"/>
    </row>
    <row r="174" ht="72.0" customHeight="1">
      <c r="A174" s="96">
        <v>2.0</v>
      </c>
      <c r="B174" s="101" t="s">
        <v>889</v>
      </c>
      <c r="C174" s="101" t="s">
        <v>109</v>
      </c>
      <c r="D174" s="101" t="s">
        <v>890</v>
      </c>
      <c r="E174" s="101"/>
      <c r="F174" s="101"/>
      <c r="G174" s="104" t="s">
        <v>891</v>
      </c>
      <c r="H174" s="103" t="s">
        <v>892</v>
      </c>
      <c r="I174" s="106"/>
      <c r="J174" s="101"/>
      <c r="K174" s="106"/>
      <c r="L174" s="103" t="s">
        <v>215</v>
      </c>
      <c r="M174" s="91"/>
      <c r="N174" s="91"/>
      <c r="O174" s="91"/>
      <c r="P174" s="91"/>
      <c r="Q174" s="91"/>
      <c r="R174" s="91"/>
      <c r="S174" s="91"/>
      <c r="T174" s="91"/>
      <c r="U174" s="91"/>
      <c r="V174" s="91"/>
      <c r="W174" s="91"/>
      <c r="X174" s="91"/>
      <c r="Y174" s="91"/>
      <c r="Z174" s="91"/>
    </row>
    <row r="175" ht="72.0" customHeight="1">
      <c r="A175" s="96">
        <v>2.0</v>
      </c>
      <c r="B175" s="101" t="s">
        <v>893</v>
      </c>
      <c r="C175" s="101" t="s">
        <v>109</v>
      </c>
      <c r="D175" s="101" t="s">
        <v>894</v>
      </c>
      <c r="E175" s="101"/>
      <c r="F175" s="101"/>
      <c r="G175" s="104" t="s">
        <v>895</v>
      </c>
      <c r="H175" s="103" t="s">
        <v>896</v>
      </c>
      <c r="I175" s="106"/>
      <c r="J175" s="101"/>
      <c r="K175" s="106"/>
      <c r="L175" s="103" t="s">
        <v>215</v>
      </c>
      <c r="M175" s="117"/>
      <c r="N175" s="91"/>
      <c r="O175" s="91"/>
      <c r="P175" s="91"/>
      <c r="Q175" s="91"/>
      <c r="R175" s="91"/>
      <c r="S175" s="91"/>
      <c r="T175" s="91"/>
      <c r="U175" s="91"/>
      <c r="V175" s="91"/>
      <c r="W175" s="91"/>
      <c r="X175" s="91"/>
      <c r="Y175" s="91"/>
      <c r="Z175" s="91"/>
    </row>
    <row r="176" ht="72.0" customHeight="1">
      <c r="A176" s="96">
        <v>3.0</v>
      </c>
      <c r="B176" s="101" t="s">
        <v>897</v>
      </c>
      <c r="C176" s="101" t="s">
        <v>109</v>
      </c>
      <c r="D176" s="101" t="s">
        <v>898</v>
      </c>
      <c r="E176" s="101"/>
      <c r="F176" s="101"/>
      <c r="G176" s="104" t="s">
        <v>899</v>
      </c>
      <c r="H176" s="101"/>
      <c r="I176" s="106"/>
      <c r="J176" s="101"/>
      <c r="K176" s="106"/>
      <c r="L176" s="103" t="s">
        <v>215</v>
      </c>
      <c r="M176" s="91"/>
      <c r="N176" s="91"/>
      <c r="O176" s="91"/>
      <c r="P176" s="91"/>
      <c r="Q176" s="91"/>
      <c r="R176" s="91"/>
      <c r="S176" s="91"/>
      <c r="T176" s="91"/>
      <c r="U176" s="91"/>
      <c r="V176" s="91"/>
      <c r="W176" s="91"/>
      <c r="X176" s="91"/>
      <c r="Y176" s="91"/>
      <c r="Z176" s="91"/>
    </row>
    <row r="177" ht="72.0" customHeight="1">
      <c r="A177" s="96"/>
      <c r="B177" s="101" t="s">
        <v>900</v>
      </c>
      <c r="C177" s="101" t="s">
        <v>110</v>
      </c>
      <c r="D177" s="101" t="s">
        <v>901</v>
      </c>
      <c r="E177" s="101"/>
      <c r="F177" s="102" t="s">
        <v>902</v>
      </c>
      <c r="G177" s="101" t="s">
        <v>903</v>
      </c>
      <c r="H177" s="102" t="s">
        <v>904</v>
      </c>
      <c r="I177" s="106"/>
      <c r="J177" s="101"/>
      <c r="K177" s="106"/>
      <c r="L177" s="101" t="s">
        <v>215</v>
      </c>
      <c r="M177" s="91"/>
      <c r="N177" s="91"/>
      <c r="O177" s="91"/>
      <c r="P177" s="91"/>
      <c r="Q177" s="91"/>
      <c r="R177" s="91"/>
      <c r="S177" s="91"/>
      <c r="T177" s="91"/>
      <c r="U177" s="91"/>
      <c r="V177" s="91"/>
      <c r="W177" s="91"/>
      <c r="X177" s="91"/>
      <c r="Y177" s="91"/>
      <c r="Z177" s="91"/>
    </row>
    <row r="178" ht="72.0" customHeight="1">
      <c r="A178" s="96"/>
      <c r="B178" s="101" t="s">
        <v>905</v>
      </c>
      <c r="C178" s="101" t="s">
        <v>110</v>
      </c>
      <c r="D178" s="101" t="s">
        <v>906</v>
      </c>
      <c r="E178" s="101"/>
      <c r="F178" s="102" t="s">
        <v>907</v>
      </c>
      <c r="G178" s="102" t="s">
        <v>908</v>
      </c>
      <c r="H178" s="103" t="s">
        <v>909</v>
      </c>
      <c r="I178" s="106"/>
      <c r="J178" s="101"/>
      <c r="K178" s="106"/>
      <c r="L178" s="101" t="s">
        <v>215</v>
      </c>
      <c r="M178" s="91"/>
      <c r="N178" s="91"/>
      <c r="O178" s="91"/>
      <c r="P178" s="91"/>
      <c r="Q178" s="91"/>
      <c r="R178" s="91"/>
      <c r="S178" s="91"/>
      <c r="T178" s="91"/>
      <c r="U178" s="91"/>
      <c r="V178" s="91"/>
      <c r="W178" s="91"/>
      <c r="X178" s="91"/>
      <c r="Y178" s="91"/>
      <c r="Z178" s="91"/>
    </row>
    <row r="179" ht="72.0" customHeight="1">
      <c r="A179" s="96"/>
      <c r="B179" s="101" t="s">
        <v>910</v>
      </c>
      <c r="C179" s="101" t="s">
        <v>110</v>
      </c>
      <c r="D179" s="101" t="s">
        <v>911</v>
      </c>
      <c r="E179" s="101"/>
      <c r="F179" s="102" t="s">
        <v>912</v>
      </c>
      <c r="G179" s="102" t="s">
        <v>913</v>
      </c>
      <c r="H179" s="101"/>
      <c r="I179" s="106"/>
      <c r="J179" s="101"/>
      <c r="K179" s="106"/>
      <c r="L179" s="101" t="s">
        <v>215</v>
      </c>
      <c r="M179" s="117"/>
      <c r="N179" s="91"/>
      <c r="O179" s="91"/>
      <c r="P179" s="91"/>
      <c r="Q179" s="91"/>
      <c r="R179" s="91"/>
      <c r="S179" s="91"/>
      <c r="T179" s="91"/>
      <c r="U179" s="91"/>
      <c r="V179" s="91"/>
      <c r="W179" s="91"/>
      <c r="X179" s="91"/>
      <c r="Y179" s="91"/>
      <c r="Z179" s="91"/>
    </row>
    <row r="180" ht="72.0" customHeight="1">
      <c r="A180" s="96"/>
      <c r="B180" s="101" t="s">
        <v>914</v>
      </c>
      <c r="C180" s="101" t="s">
        <v>110</v>
      </c>
      <c r="D180" s="101" t="s">
        <v>915</v>
      </c>
      <c r="E180" s="101"/>
      <c r="F180" s="102" t="s">
        <v>916</v>
      </c>
      <c r="G180" s="102" t="s">
        <v>917</v>
      </c>
      <c r="H180" s="101"/>
      <c r="I180" s="101"/>
      <c r="J180" s="101"/>
      <c r="K180" s="101"/>
      <c r="L180" s="101" t="s">
        <v>215</v>
      </c>
      <c r="M180" s="117"/>
      <c r="N180" s="91"/>
      <c r="O180" s="91"/>
      <c r="P180" s="91"/>
      <c r="Q180" s="91"/>
      <c r="R180" s="91"/>
      <c r="S180" s="91"/>
      <c r="T180" s="91"/>
      <c r="U180" s="91"/>
      <c r="V180" s="91"/>
      <c r="W180" s="91"/>
      <c r="X180" s="91"/>
      <c r="Y180" s="91"/>
      <c r="Z180" s="91"/>
    </row>
    <row r="181" ht="72.0" customHeight="1">
      <c r="A181" s="96"/>
      <c r="B181" s="101" t="s">
        <v>918</v>
      </c>
      <c r="C181" s="101" t="s">
        <v>110</v>
      </c>
      <c r="D181" s="101" t="s">
        <v>919</v>
      </c>
      <c r="E181" s="101"/>
      <c r="F181" s="102" t="s">
        <v>920</v>
      </c>
      <c r="G181" s="102" t="s">
        <v>921</v>
      </c>
      <c r="H181" s="101"/>
      <c r="I181" s="101"/>
      <c r="J181" s="101"/>
      <c r="K181" s="101"/>
      <c r="L181" s="101" t="s">
        <v>215</v>
      </c>
      <c r="M181" s="117"/>
      <c r="N181" s="91"/>
      <c r="O181" s="91"/>
      <c r="P181" s="91"/>
      <c r="Q181" s="91"/>
      <c r="R181" s="91"/>
      <c r="S181" s="91"/>
      <c r="T181" s="91"/>
      <c r="U181" s="91"/>
      <c r="V181" s="91"/>
      <c r="W181" s="91"/>
      <c r="X181" s="91"/>
      <c r="Y181" s="91"/>
      <c r="Z181" s="91"/>
    </row>
    <row r="182" ht="72.0" customHeight="1">
      <c r="A182" s="96">
        <v>2.0</v>
      </c>
      <c r="B182" s="101" t="s">
        <v>922</v>
      </c>
      <c r="C182" s="101" t="s">
        <v>110</v>
      </c>
      <c r="D182" s="101" t="s">
        <v>923</v>
      </c>
      <c r="E182" s="101"/>
      <c r="F182" s="101"/>
      <c r="G182" s="104" t="s">
        <v>924</v>
      </c>
      <c r="H182" s="106"/>
      <c r="I182" s="106"/>
      <c r="J182" s="101"/>
      <c r="K182" s="106"/>
      <c r="L182" s="103" t="s">
        <v>215</v>
      </c>
      <c r="M182" s="117"/>
      <c r="N182" s="91"/>
      <c r="O182" s="91"/>
      <c r="P182" s="91"/>
      <c r="Q182" s="91"/>
      <c r="R182" s="91"/>
      <c r="S182" s="91"/>
      <c r="T182" s="91"/>
      <c r="U182" s="91"/>
      <c r="V182" s="91"/>
      <c r="W182" s="91"/>
      <c r="X182" s="91"/>
      <c r="Y182" s="91"/>
      <c r="Z182" s="91"/>
    </row>
    <row r="183" ht="72.0" customHeight="1">
      <c r="A183" s="96">
        <v>2.0</v>
      </c>
      <c r="B183" s="101" t="s">
        <v>925</v>
      </c>
      <c r="C183" s="101" t="s">
        <v>110</v>
      </c>
      <c r="D183" s="101" t="s">
        <v>926</v>
      </c>
      <c r="E183" s="101"/>
      <c r="F183" s="101"/>
      <c r="G183" s="104" t="s">
        <v>927</v>
      </c>
      <c r="H183" s="106"/>
      <c r="I183" s="106"/>
      <c r="J183" s="101"/>
      <c r="K183" s="106"/>
      <c r="L183" s="103" t="s">
        <v>215</v>
      </c>
      <c r="M183" s="117"/>
      <c r="N183" s="91"/>
      <c r="O183" s="91"/>
      <c r="P183" s="91"/>
      <c r="Q183" s="91"/>
      <c r="R183" s="91"/>
      <c r="S183" s="91"/>
      <c r="T183" s="91"/>
      <c r="U183" s="91"/>
      <c r="V183" s="91"/>
      <c r="W183" s="91"/>
      <c r="X183" s="91"/>
      <c r="Y183" s="91"/>
      <c r="Z183" s="91"/>
    </row>
    <row r="184" ht="72.0" customHeight="1">
      <c r="A184" s="96">
        <v>3.0</v>
      </c>
      <c r="B184" s="101" t="s">
        <v>928</v>
      </c>
      <c r="C184" s="101" t="s">
        <v>110</v>
      </c>
      <c r="D184" s="101" t="s">
        <v>929</v>
      </c>
      <c r="E184" s="101"/>
      <c r="F184" s="101"/>
      <c r="G184" s="104" t="s">
        <v>930</v>
      </c>
      <c r="H184" s="101"/>
      <c r="I184" s="106"/>
      <c r="J184" s="101"/>
      <c r="K184" s="106"/>
      <c r="L184" s="103" t="s">
        <v>215</v>
      </c>
      <c r="M184" s="91"/>
      <c r="N184" s="91"/>
      <c r="O184" s="91"/>
      <c r="P184" s="91"/>
      <c r="Q184" s="91"/>
      <c r="R184" s="91"/>
      <c r="S184" s="91"/>
      <c r="T184" s="91"/>
      <c r="U184" s="91"/>
      <c r="V184" s="91"/>
      <c r="W184" s="91"/>
      <c r="X184" s="91"/>
      <c r="Y184" s="91"/>
      <c r="Z184" s="91"/>
    </row>
    <row r="185" ht="72.0" customHeight="1">
      <c r="A185" s="96"/>
      <c r="B185" s="101" t="s">
        <v>931</v>
      </c>
      <c r="C185" s="101" t="s">
        <v>111</v>
      </c>
      <c r="D185" s="101" t="s">
        <v>932</v>
      </c>
      <c r="E185" s="101"/>
      <c r="F185" s="102" t="s">
        <v>933</v>
      </c>
      <c r="G185" s="102" t="s">
        <v>934</v>
      </c>
      <c r="H185" s="112" t="s">
        <v>935</v>
      </c>
      <c r="I185" s="106"/>
      <c r="J185" s="101"/>
      <c r="K185" s="106"/>
      <c r="L185" s="101" t="s">
        <v>90</v>
      </c>
      <c r="M185" s="91"/>
      <c r="N185" s="91"/>
      <c r="O185" s="91"/>
      <c r="P185" s="91"/>
      <c r="Q185" s="91"/>
      <c r="R185" s="91"/>
      <c r="S185" s="91"/>
      <c r="T185" s="91"/>
      <c r="U185" s="91"/>
      <c r="V185" s="91"/>
      <c r="W185" s="91"/>
      <c r="X185" s="91"/>
      <c r="Y185" s="91"/>
      <c r="Z185" s="91"/>
    </row>
    <row r="186" ht="72.0" customHeight="1">
      <c r="A186" s="96"/>
      <c r="B186" s="101" t="s">
        <v>936</v>
      </c>
      <c r="C186" s="101" t="s">
        <v>111</v>
      </c>
      <c r="D186" s="101" t="s">
        <v>937</v>
      </c>
      <c r="E186" s="101"/>
      <c r="F186" s="102" t="s">
        <v>938</v>
      </c>
      <c r="G186" s="102" t="s">
        <v>939</v>
      </c>
      <c r="H186" s="113"/>
      <c r="I186" s="106"/>
      <c r="J186" s="101"/>
      <c r="K186" s="106"/>
      <c r="L186" s="101" t="s">
        <v>90</v>
      </c>
      <c r="M186" s="91"/>
      <c r="N186" s="91"/>
      <c r="O186" s="91"/>
      <c r="P186" s="91"/>
      <c r="Q186" s="91"/>
      <c r="R186" s="91"/>
      <c r="S186" s="91"/>
      <c r="T186" s="91"/>
      <c r="U186" s="91"/>
      <c r="V186" s="91"/>
      <c r="W186" s="91"/>
      <c r="X186" s="91"/>
      <c r="Y186" s="91"/>
      <c r="Z186" s="91"/>
    </row>
    <row r="187" ht="72.0" customHeight="1">
      <c r="A187" s="96"/>
      <c r="B187" s="101" t="s">
        <v>940</v>
      </c>
      <c r="C187" s="101" t="s">
        <v>111</v>
      </c>
      <c r="D187" s="101" t="s">
        <v>941</v>
      </c>
      <c r="E187" s="101"/>
      <c r="F187" s="102" t="s">
        <v>942</v>
      </c>
      <c r="G187" s="102" t="s">
        <v>943</v>
      </c>
      <c r="H187" s="113"/>
      <c r="I187" s="106"/>
      <c r="J187" s="101"/>
      <c r="K187" s="106"/>
      <c r="L187" s="101" t="s">
        <v>90</v>
      </c>
      <c r="M187" s="91"/>
      <c r="N187" s="91"/>
      <c r="O187" s="91"/>
      <c r="P187" s="91"/>
      <c r="Q187" s="91"/>
      <c r="R187" s="91"/>
      <c r="S187" s="91"/>
      <c r="T187" s="91"/>
      <c r="U187" s="91"/>
      <c r="V187" s="91"/>
      <c r="W187" s="91"/>
      <c r="X187" s="91"/>
      <c r="Y187" s="91"/>
      <c r="Z187" s="91"/>
    </row>
    <row r="188" ht="72.0" customHeight="1">
      <c r="A188" s="96"/>
      <c r="B188" s="101" t="s">
        <v>944</v>
      </c>
      <c r="C188" s="101" t="s">
        <v>111</v>
      </c>
      <c r="D188" s="101" t="s">
        <v>945</v>
      </c>
      <c r="E188" s="101"/>
      <c r="F188" s="102" t="s">
        <v>946</v>
      </c>
      <c r="G188" s="102" t="s">
        <v>947</v>
      </c>
      <c r="H188" s="113"/>
      <c r="I188" s="106"/>
      <c r="J188" s="101"/>
      <c r="K188" s="106"/>
      <c r="L188" s="101" t="s">
        <v>90</v>
      </c>
      <c r="M188" s="91"/>
      <c r="N188" s="91"/>
      <c r="O188" s="91"/>
      <c r="P188" s="91"/>
      <c r="Q188" s="91"/>
      <c r="R188" s="91"/>
      <c r="S188" s="91"/>
      <c r="T188" s="91"/>
      <c r="U188" s="91"/>
      <c r="V188" s="91"/>
      <c r="W188" s="91"/>
      <c r="X188" s="91"/>
      <c r="Y188" s="91"/>
      <c r="Z188" s="91"/>
    </row>
    <row r="189" ht="72.0" customHeight="1">
      <c r="A189" s="96"/>
      <c r="B189" s="101" t="s">
        <v>948</v>
      </c>
      <c r="C189" s="101" t="s">
        <v>111</v>
      </c>
      <c r="D189" s="101" t="s">
        <v>949</v>
      </c>
      <c r="E189" s="101"/>
      <c r="F189" s="102" t="s">
        <v>950</v>
      </c>
      <c r="G189" s="102" t="s">
        <v>951</v>
      </c>
      <c r="H189" s="113"/>
      <c r="I189" s="106"/>
      <c r="J189" s="101"/>
      <c r="K189" s="106"/>
      <c r="L189" s="101" t="s">
        <v>90</v>
      </c>
      <c r="M189" s="91"/>
      <c r="N189" s="91"/>
      <c r="O189" s="91"/>
      <c r="P189" s="91"/>
      <c r="Q189" s="91"/>
      <c r="R189" s="91"/>
      <c r="S189" s="91"/>
      <c r="T189" s="91"/>
      <c r="U189" s="91"/>
      <c r="V189" s="91"/>
      <c r="W189" s="91"/>
      <c r="X189" s="91"/>
      <c r="Y189" s="91"/>
      <c r="Z189" s="91"/>
    </row>
    <row r="190" ht="72.0" customHeight="1">
      <c r="A190" s="96">
        <v>2.0</v>
      </c>
      <c r="B190" s="101" t="s">
        <v>952</v>
      </c>
      <c r="C190" s="101" t="s">
        <v>111</v>
      </c>
      <c r="D190" s="101" t="s">
        <v>953</v>
      </c>
      <c r="E190" s="101"/>
      <c r="F190" s="101"/>
      <c r="G190" s="104" t="s">
        <v>954</v>
      </c>
      <c r="H190" s="113"/>
      <c r="I190" s="101"/>
      <c r="J190" s="101"/>
      <c r="K190" s="101"/>
      <c r="L190" s="103" t="s">
        <v>90</v>
      </c>
      <c r="M190" s="91"/>
      <c r="N190" s="91"/>
      <c r="O190" s="91"/>
      <c r="P190" s="91"/>
      <c r="Q190" s="91"/>
      <c r="R190" s="91"/>
      <c r="S190" s="91"/>
      <c r="T190" s="91"/>
      <c r="U190" s="91"/>
      <c r="V190" s="91"/>
      <c r="W190" s="91"/>
      <c r="X190" s="91"/>
      <c r="Y190" s="91"/>
      <c r="Z190" s="91"/>
    </row>
    <row r="191" ht="72.0" customHeight="1">
      <c r="A191" s="96">
        <v>2.0</v>
      </c>
      <c r="B191" s="101" t="s">
        <v>955</v>
      </c>
      <c r="C191" s="101" t="s">
        <v>111</v>
      </c>
      <c r="D191" s="101" t="s">
        <v>956</v>
      </c>
      <c r="E191" s="101"/>
      <c r="F191" s="101"/>
      <c r="G191" s="104" t="s">
        <v>957</v>
      </c>
      <c r="H191" s="113"/>
      <c r="I191" s="101"/>
      <c r="J191" s="101"/>
      <c r="K191" s="101"/>
      <c r="L191" s="103" t="s">
        <v>90</v>
      </c>
      <c r="M191" s="91"/>
      <c r="N191" s="91"/>
      <c r="O191" s="91"/>
      <c r="P191" s="91"/>
      <c r="Q191" s="91"/>
      <c r="R191" s="91"/>
      <c r="S191" s="91"/>
      <c r="T191" s="91"/>
      <c r="U191" s="91"/>
      <c r="V191" s="91"/>
      <c r="W191" s="91"/>
      <c r="X191" s="91"/>
      <c r="Y191" s="91"/>
      <c r="Z191" s="91"/>
    </row>
    <row r="192" ht="72.0" customHeight="1">
      <c r="A192" s="96">
        <v>3.0</v>
      </c>
      <c r="B192" s="101" t="s">
        <v>958</v>
      </c>
      <c r="C192" s="101" t="s">
        <v>111</v>
      </c>
      <c r="D192" s="101" t="s">
        <v>959</v>
      </c>
      <c r="E192" s="101"/>
      <c r="F192" s="101"/>
      <c r="G192" s="104" t="s">
        <v>960</v>
      </c>
      <c r="H192" s="114"/>
      <c r="I192" s="101"/>
      <c r="J192" s="101"/>
      <c r="K192" s="101"/>
      <c r="L192" s="103" t="s">
        <v>90</v>
      </c>
      <c r="M192" s="91"/>
      <c r="N192" s="91"/>
      <c r="O192" s="91"/>
      <c r="P192" s="91"/>
      <c r="Q192" s="91"/>
      <c r="R192" s="91"/>
      <c r="S192" s="91"/>
      <c r="T192" s="91"/>
      <c r="U192" s="91"/>
      <c r="V192" s="91"/>
      <c r="W192" s="91"/>
      <c r="X192" s="91"/>
      <c r="Y192" s="91"/>
      <c r="Z192" s="91"/>
    </row>
    <row r="193" ht="72.0" customHeight="1">
      <c r="A193" s="96"/>
      <c r="B193" s="101" t="s">
        <v>961</v>
      </c>
      <c r="C193" s="101" t="s">
        <v>962</v>
      </c>
      <c r="D193" s="101" t="s">
        <v>963</v>
      </c>
      <c r="E193" s="101"/>
      <c r="F193" s="102" t="s">
        <v>964</v>
      </c>
      <c r="G193" s="102" t="s">
        <v>965</v>
      </c>
      <c r="H193" s="120" t="s">
        <v>966</v>
      </c>
      <c r="I193" s="120" t="s">
        <v>967</v>
      </c>
      <c r="J193" s="101" t="s">
        <v>40</v>
      </c>
      <c r="K193" s="102" t="s">
        <v>968</v>
      </c>
      <c r="L193" s="103" t="s">
        <v>215</v>
      </c>
      <c r="M193" s="117"/>
      <c r="N193" s="91"/>
      <c r="O193" s="91"/>
      <c r="P193" s="91"/>
      <c r="Q193" s="91"/>
      <c r="R193" s="91"/>
      <c r="S193" s="91"/>
      <c r="T193" s="91"/>
      <c r="U193" s="91"/>
      <c r="V193" s="91"/>
      <c r="W193" s="91"/>
      <c r="X193" s="91"/>
      <c r="Y193" s="91"/>
      <c r="Z193" s="91"/>
    </row>
    <row r="194" ht="72.0" customHeight="1">
      <c r="A194" s="96"/>
      <c r="B194" s="101" t="s">
        <v>969</v>
      </c>
      <c r="C194" s="101" t="s">
        <v>962</v>
      </c>
      <c r="D194" s="101" t="s">
        <v>970</v>
      </c>
      <c r="E194" s="101"/>
      <c r="F194" s="102" t="s">
        <v>971</v>
      </c>
      <c r="G194" s="102" t="s">
        <v>972</v>
      </c>
      <c r="H194" s="101"/>
      <c r="I194" s="101"/>
      <c r="J194" s="101"/>
      <c r="K194" s="101"/>
      <c r="L194" s="103" t="s">
        <v>215</v>
      </c>
      <c r="M194" s="117"/>
      <c r="N194" s="91"/>
      <c r="O194" s="91"/>
      <c r="P194" s="91"/>
      <c r="Q194" s="91"/>
      <c r="R194" s="91"/>
      <c r="S194" s="91"/>
      <c r="T194" s="91"/>
      <c r="U194" s="91"/>
      <c r="V194" s="91"/>
      <c r="W194" s="91"/>
      <c r="X194" s="91"/>
      <c r="Y194" s="91"/>
      <c r="Z194" s="91"/>
    </row>
    <row r="195" ht="72.0" customHeight="1">
      <c r="A195" s="96"/>
      <c r="B195" s="101" t="s">
        <v>973</v>
      </c>
      <c r="C195" s="101" t="s">
        <v>962</v>
      </c>
      <c r="D195" s="101" t="s">
        <v>974</v>
      </c>
      <c r="E195" s="101"/>
      <c r="F195" s="102" t="s">
        <v>975</v>
      </c>
      <c r="G195" s="102" t="s">
        <v>976</v>
      </c>
      <c r="H195" s="101"/>
      <c r="I195" s="101"/>
      <c r="J195" s="101"/>
      <c r="K195" s="103"/>
      <c r="L195" s="103" t="s">
        <v>215</v>
      </c>
      <c r="M195" s="117"/>
      <c r="N195" s="91"/>
      <c r="O195" s="91"/>
      <c r="P195" s="91"/>
      <c r="Q195" s="91"/>
      <c r="R195" s="91"/>
      <c r="S195" s="91"/>
      <c r="T195" s="91"/>
      <c r="U195" s="91"/>
      <c r="V195" s="91"/>
      <c r="W195" s="91"/>
      <c r="X195" s="91"/>
      <c r="Y195" s="91"/>
      <c r="Z195" s="91"/>
    </row>
    <row r="196" ht="72.0" customHeight="1">
      <c r="A196" s="96">
        <v>3.0</v>
      </c>
      <c r="B196" s="101" t="s">
        <v>977</v>
      </c>
      <c r="C196" s="101" t="s">
        <v>962</v>
      </c>
      <c r="D196" s="101" t="s">
        <v>978</v>
      </c>
      <c r="E196" s="101"/>
      <c r="F196" s="101"/>
      <c r="G196" s="104" t="s">
        <v>979</v>
      </c>
      <c r="H196" s="101"/>
      <c r="I196" s="101"/>
      <c r="J196" s="101"/>
      <c r="K196" s="101"/>
      <c r="L196" s="103" t="s">
        <v>215</v>
      </c>
      <c r="M196" s="117"/>
      <c r="N196" s="91"/>
      <c r="O196" s="91"/>
      <c r="P196" s="91"/>
      <c r="Q196" s="91"/>
      <c r="R196" s="91"/>
      <c r="S196" s="91"/>
      <c r="T196" s="91"/>
      <c r="U196" s="91"/>
      <c r="V196" s="91"/>
      <c r="W196" s="91"/>
      <c r="X196" s="91"/>
      <c r="Y196" s="91"/>
      <c r="Z196" s="91"/>
    </row>
    <row r="197" ht="72.0" customHeight="1">
      <c r="A197" s="96">
        <v>2.0</v>
      </c>
      <c r="B197" s="101" t="s">
        <v>980</v>
      </c>
      <c r="C197" s="101" t="s">
        <v>113</v>
      </c>
      <c r="D197" s="101" t="s">
        <v>981</v>
      </c>
      <c r="E197" s="101"/>
      <c r="F197" s="101"/>
      <c r="G197" s="104" t="s">
        <v>982</v>
      </c>
      <c r="H197" s="112" t="s">
        <v>983</v>
      </c>
      <c r="I197" s="101"/>
      <c r="J197" s="101"/>
      <c r="K197" s="101"/>
      <c r="L197" s="103" t="s">
        <v>90</v>
      </c>
      <c r="M197" s="91"/>
      <c r="N197" s="91"/>
      <c r="O197" s="91"/>
      <c r="P197" s="91"/>
      <c r="Q197" s="91"/>
      <c r="R197" s="91"/>
      <c r="S197" s="91"/>
      <c r="T197" s="91"/>
      <c r="U197" s="91"/>
      <c r="V197" s="91"/>
      <c r="W197" s="91"/>
      <c r="X197" s="91"/>
      <c r="Y197" s="91"/>
      <c r="Z197" s="91"/>
    </row>
    <row r="198" ht="72.0" customHeight="1">
      <c r="A198" s="96">
        <v>2.0</v>
      </c>
      <c r="B198" s="101" t="s">
        <v>984</v>
      </c>
      <c r="C198" s="101" t="s">
        <v>113</v>
      </c>
      <c r="D198" s="101" t="s">
        <v>985</v>
      </c>
      <c r="E198" s="101"/>
      <c r="F198" s="101"/>
      <c r="G198" s="104" t="s">
        <v>986</v>
      </c>
      <c r="H198" s="113"/>
      <c r="I198" s="101"/>
      <c r="J198" s="101"/>
      <c r="K198" s="101"/>
      <c r="L198" s="103" t="s">
        <v>90</v>
      </c>
      <c r="M198" s="91"/>
      <c r="N198" s="91"/>
      <c r="O198" s="91"/>
      <c r="P198" s="91"/>
      <c r="Q198" s="91"/>
      <c r="R198" s="91"/>
      <c r="S198" s="91"/>
      <c r="T198" s="91"/>
      <c r="U198" s="91"/>
      <c r="V198" s="91"/>
      <c r="W198" s="91"/>
      <c r="X198" s="91"/>
      <c r="Y198" s="91"/>
      <c r="Z198" s="91"/>
    </row>
    <row r="199" ht="72.0" customHeight="1">
      <c r="A199" s="96">
        <v>2.0</v>
      </c>
      <c r="B199" s="101" t="s">
        <v>987</v>
      </c>
      <c r="C199" s="101" t="s">
        <v>113</v>
      </c>
      <c r="D199" s="101" t="s">
        <v>988</v>
      </c>
      <c r="E199" s="101"/>
      <c r="F199" s="101"/>
      <c r="G199" s="104" t="s">
        <v>989</v>
      </c>
      <c r="H199" s="113"/>
      <c r="I199" s="101"/>
      <c r="J199" s="101"/>
      <c r="K199" s="101"/>
      <c r="L199" s="103" t="s">
        <v>90</v>
      </c>
      <c r="M199" s="91"/>
      <c r="N199" s="91"/>
      <c r="O199" s="91"/>
      <c r="P199" s="91"/>
      <c r="Q199" s="91"/>
      <c r="R199" s="91"/>
      <c r="S199" s="91"/>
      <c r="T199" s="91"/>
      <c r="U199" s="91"/>
      <c r="V199" s="91"/>
      <c r="W199" s="91"/>
      <c r="X199" s="91"/>
      <c r="Y199" s="91"/>
      <c r="Z199" s="91"/>
    </row>
    <row r="200" ht="72.0" customHeight="1">
      <c r="A200" s="96">
        <v>2.0</v>
      </c>
      <c r="B200" s="101" t="s">
        <v>990</v>
      </c>
      <c r="C200" s="101" t="s">
        <v>113</v>
      </c>
      <c r="D200" s="101" t="s">
        <v>991</v>
      </c>
      <c r="E200" s="101"/>
      <c r="F200" s="101"/>
      <c r="G200" s="104" t="s">
        <v>992</v>
      </c>
      <c r="H200" s="113"/>
      <c r="I200" s="101"/>
      <c r="J200" s="101"/>
      <c r="K200" s="101"/>
      <c r="L200" s="103" t="s">
        <v>90</v>
      </c>
      <c r="M200" s="91"/>
      <c r="N200" s="91"/>
      <c r="O200" s="91"/>
      <c r="P200" s="91"/>
      <c r="Q200" s="91"/>
      <c r="R200" s="91"/>
      <c r="S200" s="91"/>
      <c r="T200" s="91"/>
      <c r="U200" s="91"/>
      <c r="V200" s="91"/>
      <c r="W200" s="91"/>
      <c r="X200" s="91"/>
      <c r="Y200" s="91"/>
      <c r="Z200" s="91"/>
    </row>
    <row r="201" ht="72.0" customHeight="1">
      <c r="A201" s="96">
        <v>3.0</v>
      </c>
      <c r="B201" s="101" t="s">
        <v>993</v>
      </c>
      <c r="C201" s="101" t="s">
        <v>113</v>
      </c>
      <c r="D201" s="101" t="s">
        <v>994</v>
      </c>
      <c r="E201" s="101"/>
      <c r="F201" s="101"/>
      <c r="G201" s="104" t="s">
        <v>995</v>
      </c>
      <c r="H201" s="114"/>
      <c r="I201" s="101"/>
      <c r="J201" s="101"/>
      <c r="K201" s="101"/>
      <c r="L201" s="103" t="s">
        <v>90</v>
      </c>
      <c r="M201" s="91"/>
      <c r="N201" s="91"/>
      <c r="O201" s="91"/>
      <c r="P201" s="91"/>
      <c r="Q201" s="91"/>
      <c r="R201" s="91"/>
      <c r="S201" s="91"/>
      <c r="T201" s="91"/>
      <c r="U201" s="91"/>
      <c r="V201" s="91"/>
      <c r="W201" s="91"/>
      <c r="X201" s="91"/>
      <c r="Y201" s="91"/>
      <c r="Z201" s="91"/>
    </row>
    <row r="202" ht="72.0" customHeight="1">
      <c r="A202" s="96"/>
      <c r="B202" s="109" t="s">
        <v>114</v>
      </c>
      <c r="C202" s="25"/>
      <c r="D202" s="25"/>
      <c r="E202" s="25"/>
      <c r="F202" s="25"/>
      <c r="G202" s="25"/>
      <c r="H202" s="25"/>
      <c r="I202" s="25"/>
      <c r="J202" s="25"/>
      <c r="K202" s="26"/>
      <c r="L202" s="101"/>
      <c r="M202" s="91"/>
      <c r="N202" s="91"/>
      <c r="O202" s="91"/>
      <c r="P202" s="91"/>
      <c r="Q202" s="91"/>
      <c r="R202" s="91"/>
      <c r="S202" s="91"/>
      <c r="T202" s="91"/>
      <c r="U202" s="91"/>
      <c r="V202" s="91"/>
      <c r="W202" s="91"/>
      <c r="X202" s="91"/>
      <c r="Y202" s="91"/>
      <c r="Z202" s="91"/>
    </row>
    <row r="203" ht="72.0" customHeight="1">
      <c r="A203" s="96"/>
      <c r="B203" s="111" t="s">
        <v>996</v>
      </c>
      <c r="C203" s="25"/>
      <c r="D203" s="25"/>
      <c r="E203" s="25"/>
      <c r="F203" s="25"/>
      <c r="G203" s="25"/>
      <c r="H203" s="25"/>
      <c r="I203" s="25"/>
      <c r="J203" s="25"/>
      <c r="K203" s="26"/>
      <c r="L203" s="101"/>
      <c r="M203" s="91"/>
      <c r="N203" s="91"/>
      <c r="O203" s="91"/>
      <c r="P203" s="91"/>
      <c r="Q203" s="91"/>
      <c r="R203" s="91"/>
      <c r="S203" s="91"/>
      <c r="T203" s="91"/>
      <c r="U203" s="91"/>
      <c r="V203" s="91"/>
      <c r="W203" s="91"/>
      <c r="X203" s="91"/>
      <c r="Y203" s="91"/>
      <c r="Z203" s="91"/>
    </row>
    <row r="204" ht="72.0" customHeight="1">
      <c r="A204" s="96"/>
      <c r="B204" s="101" t="s">
        <v>997</v>
      </c>
      <c r="C204" s="101" t="s">
        <v>115</v>
      </c>
      <c r="D204" s="101" t="s">
        <v>998</v>
      </c>
      <c r="E204" s="101"/>
      <c r="F204" s="102" t="s">
        <v>999</v>
      </c>
      <c r="G204" s="102" t="s">
        <v>1000</v>
      </c>
      <c r="H204" s="103" t="s">
        <v>1001</v>
      </c>
      <c r="I204" s="106"/>
      <c r="J204" s="101"/>
      <c r="K204" s="106"/>
      <c r="L204" s="101" t="s">
        <v>215</v>
      </c>
      <c r="M204" s="91"/>
      <c r="N204" s="91"/>
      <c r="O204" s="91"/>
      <c r="P204" s="91"/>
      <c r="Q204" s="91"/>
      <c r="R204" s="91"/>
      <c r="S204" s="91"/>
      <c r="T204" s="91"/>
      <c r="U204" s="91"/>
      <c r="V204" s="91"/>
      <c r="W204" s="91"/>
      <c r="X204" s="91"/>
      <c r="Y204" s="91"/>
      <c r="Z204" s="91"/>
    </row>
    <row r="205" ht="72.0" customHeight="1">
      <c r="A205" s="96"/>
      <c r="B205" s="101" t="s">
        <v>1002</v>
      </c>
      <c r="C205" s="101" t="s">
        <v>115</v>
      </c>
      <c r="D205" s="101" t="s">
        <v>1003</v>
      </c>
      <c r="E205" s="101"/>
      <c r="F205" s="102" t="s">
        <v>1004</v>
      </c>
      <c r="G205" s="101" t="s">
        <v>1005</v>
      </c>
      <c r="H205" s="103" t="s">
        <v>1006</v>
      </c>
      <c r="I205" s="106"/>
      <c r="J205" s="101"/>
      <c r="K205" s="106"/>
      <c r="L205" s="101" t="s">
        <v>215</v>
      </c>
      <c r="M205" s="91"/>
      <c r="N205" s="91"/>
      <c r="O205" s="91"/>
      <c r="P205" s="91"/>
      <c r="Q205" s="91"/>
      <c r="R205" s="91"/>
      <c r="S205" s="91"/>
      <c r="T205" s="91"/>
      <c r="U205" s="91"/>
      <c r="V205" s="91"/>
      <c r="W205" s="91"/>
      <c r="X205" s="91"/>
      <c r="Y205" s="91"/>
      <c r="Z205" s="91"/>
    </row>
    <row r="206" ht="72.0" customHeight="1">
      <c r="A206" s="96"/>
      <c r="B206" s="101" t="s">
        <v>1007</v>
      </c>
      <c r="C206" s="101" t="s">
        <v>115</v>
      </c>
      <c r="D206" s="101" t="s">
        <v>1008</v>
      </c>
      <c r="E206" s="101"/>
      <c r="F206" s="102" t="s">
        <v>1009</v>
      </c>
      <c r="G206" s="102" t="s">
        <v>1010</v>
      </c>
      <c r="H206" s="103" t="s">
        <v>1011</v>
      </c>
      <c r="I206" s="101"/>
      <c r="J206" s="101"/>
      <c r="K206" s="101"/>
      <c r="L206" s="101" t="s">
        <v>215</v>
      </c>
      <c r="M206" s="91"/>
      <c r="N206" s="91"/>
      <c r="O206" s="91"/>
      <c r="P206" s="91"/>
      <c r="Q206" s="91"/>
      <c r="R206" s="91"/>
      <c r="S206" s="91"/>
      <c r="T206" s="91"/>
      <c r="U206" s="91"/>
      <c r="V206" s="91"/>
      <c r="W206" s="91"/>
      <c r="X206" s="91"/>
      <c r="Y206" s="91"/>
      <c r="Z206" s="91"/>
    </row>
    <row r="207" ht="72.0" customHeight="1">
      <c r="A207" s="96"/>
      <c r="B207" s="101" t="s">
        <v>1012</v>
      </c>
      <c r="C207" s="101" t="s">
        <v>115</v>
      </c>
      <c r="D207" s="101" t="s">
        <v>1013</v>
      </c>
      <c r="E207" s="101"/>
      <c r="F207" s="102" t="s">
        <v>1014</v>
      </c>
      <c r="G207" s="102" t="s">
        <v>1015</v>
      </c>
      <c r="H207" s="103" t="s">
        <v>1016</v>
      </c>
      <c r="I207" s="106"/>
      <c r="J207" s="101"/>
      <c r="K207" s="106"/>
      <c r="L207" s="101" t="s">
        <v>90</v>
      </c>
      <c r="M207" s="91"/>
      <c r="N207" s="91"/>
      <c r="O207" s="91"/>
      <c r="P207" s="91"/>
      <c r="Q207" s="91"/>
      <c r="R207" s="91"/>
      <c r="S207" s="91"/>
      <c r="T207" s="91"/>
      <c r="U207" s="91"/>
      <c r="V207" s="91"/>
      <c r="W207" s="91"/>
      <c r="X207" s="91"/>
      <c r="Y207" s="91"/>
      <c r="Z207" s="91"/>
    </row>
    <row r="208" ht="72.0" customHeight="1">
      <c r="A208" s="96"/>
      <c r="B208" s="101" t="s">
        <v>1017</v>
      </c>
      <c r="C208" s="101" t="s">
        <v>115</v>
      </c>
      <c r="D208" s="101" t="s">
        <v>1018</v>
      </c>
      <c r="E208" s="101"/>
      <c r="F208" s="102" t="s">
        <v>1019</v>
      </c>
      <c r="G208" s="122" t="s">
        <v>1020</v>
      </c>
      <c r="H208" s="103" t="s">
        <v>1021</v>
      </c>
      <c r="I208" s="106"/>
      <c r="J208" s="101"/>
      <c r="K208" s="106"/>
      <c r="L208" s="101" t="s">
        <v>215</v>
      </c>
      <c r="M208" s="91"/>
      <c r="N208" s="91"/>
      <c r="O208" s="91"/>
      <c r="P208" s="91"/>
      <c r="Q208" s="91"/>
      <c r="R208" s="91"/>
      <c r="S208" s="91"/>
      <c r="T208" s="91"/>
      <c r="U208" s="91"/>
      <c r="V208" s="91"/>
      <c r="W208" s="91"/>
      <c r="X208" s="91"/>
      <c r="Y208" s="91"/>
      <c r="Z208" s="91"/>
    </row>
    <row r="209" ht="72.0" customHeight="1">
      <c r="A209" s="96"/>
      <c r="B209" s="101" t="s">
        <v>1022</v>
      </c>
      <c r="C209" s="101" t="s">
        <v>115</v>
      </c>
      <c r="D209" s="101" t="s">
        <v>1023</v>
      </c>
      <c r="E209" s="101"/>
      <c r="F209" s="102" t="s">
        <v>1024</v>
      </c>
      <c r="G209" s="102" t="s">
        <v>1025</v>
      </c>
      <c r="H209" s="103" t="s">
        <v>1026</v>
      </c>
      <c r="I209" s="106"/>
      <c r="J209" s="101"/>
      <c r="K209" s="106"/>
      <c r="L209" s="103" t="s">
        <v>215</v>
      </c>
      <c r="M209" s="91"/>
      <c r="N209" s="91"/>
      <c r="O209" s="91"/>
      <c r="P209" s="91"/>
      <c r="Q209" s="91"/>
      <c r="R209" s="91"/>
      <c r="S209" s="91"/>
      <c r="T209" s="91"/>
      <c r="U209" s="91"/>
      <c r="V209" s="91"/>
      <c r="W209" s="91"/>
      <c r="X209" s="91"/>
      <c r="Y209" s="91"/>
      <c r="Z209" s="91"/>
    </row>
    <row r="210" ht="72.0" customHeight="1">
      <c r="A210" s="96"/>
      <c r="B210" s="101" t="s">
        <v>1027</v>
      </c>
      <c r="C210" s="101" t="s">
        <v>115</v>
      </c>
      <c r="D210" s="101" t="s">
        <v>1028</v>
      </c>
      <c r="E210" s="101"/>
      <c r="F210" s="101"/>
      <c r="G210" s="101"/>
      <c r="H210" s="103" t="s">
        <v>1029</v>
      </c>
      <c r="I210" s="101"/>
      <c r="J210" s="101"/>
      <c r="K210" s="106"/>
      <c r="L210" s="103" t="s">
        <v>215</v>
      </c>
      <c r="M210" s="91"/>
      <c r="N210" s="91"/>
      <c r="O210" s="91"/>
      <c r="P210" s="91"/>
      <c r="Q210" s="91"/>
      <c r="R210" s="91"/>
      <c r="S210" s="91"/>
      <c r="T210" s="91"/>
      <c r="U210" s="91"/>
      <c r="V210" s="91"/>
      <c r="W210" s="91"/>
      <c r="X210" s="91"/>
      <c r="Y210" s="91"/>
      <c r="Z210" s="91"/>
    </row>
    <row r="211" ht="72.0" customHeight="1">
      <c r="A211" s="96"/>
      <c r="B211" s="101" t="s">
        <v>1030</v>
      </c>
      <c r="C211" s="101" t="s">
        <v>116</v>
      </c>
      <c r="D211" s="101" t="s">
        <v>1031</v>
      </c>
      <c r="E211" s="101"/>
      <c r="F211" s="102" t="s">
        <v>1032</v>
      </c>
      <c r="G211" s="103" t="s">
        <v>1033</v>
      </c>
      <c r="H211" s="103" t="s">
        <v>1034</v>
      </c>
      <c r="I211" s="101"/>
      <c r="J211" s="101"/>
      <c r="K211" s="106"/>
      <c r="L211" s="101" t="s">
        <v>215</v>
      </c>
      <c r="M211" s="91"/>
      <c r="N211" s="91"/>
      <c r="O211" s="91"/>
      <c r="P211" s="91"/>
      <c r="Q211" s="91"/>
      <c r="R211" s="91"/>
      <c r="S211" s="91"/>
      <c r="T211" s="91"/>
      <c r="U211" s="91"/>
      <c r="V211" s="91"/>
      <c r="W211" s="91"/>
      <c r="X211" s="91"/>
      <c r="Y211" s="91"/>
      <c r="Z211" s="91"/>
    </row>
    <row r="212" ht="72.0" customHeight="1">
      <c r="A212" s="96"/>
      <c r="B212" s="101" t="s">
        <v>1035</v>
      </c>
      <c r="C212" s="101" t="s">
        <v>116</v>
      </c>
      <c r="D212" s="101" t="s">
        <v>1036</v>
      </c>
      <c r="E212" s="101"/>
      <c r="F212" s="102" t="s">
        <v>1037</v>
      </c>
      <c r="G212" s="101" t="s">
        <v>1038</v>
      </c>
      <c r="H212" s="103" t="s">
        <v>1039</v>
      </c>
      <c r="I212" s="101"/>
      <c r="J212" s="101"/>
      <c r="K212" s="106"/>
      <c r="L212" s="103" t="s">
        <v>215</v>
      </c>
      <c r="M212" s="91"/>
      <c r="N212" s="91"/>
      <c r="O212" s="91"/>
      <c r="P212" s="91"/>
      <c r="Q212" s="91"/>
      <c r="R212" s="91"/>
      <c r="S212" s="91"/>
      <c r="T212" s="91"/>
      <c r="U212" s="91"/>
      <c r="V212" s="91"/>
      <c r="W212" s="91"/>
      <c r="X212" s="91"/>
      <c r="Y212" s="91"/>
      <c r="Z212" s="91"/>
    </row>
    <row r="213" ht="72.0" customHeight="1">
      <c r="A213" s="96"/>
      <c r="B213" s="101" t="s">
        <v>1040</v>
      </c>
      <c r="C213" s="101" t="s">
        <v>116</v>
      </c>
      <c r="D213" s="101" t="s">
        <v>1041</v>
      </c>
      <c r="E213" s="101"/>
      <c r="F213" s="102" t="s">
        <v>1042</v>
      </c>
      <c r="G213" s="101" t="s">
        <v>1043</v>
      </c>
      <c r="H213" s="103" t="s">
        <v>1044</v>
      </c>
      <c r="I213" s="101"/>
      <c r="J213" s="101"/>
      <c r="K213" s="101"/>
      <c r="L213" s="103" t="s">
        <v>215</v>
      </c>
      <c r="M213" s="91"/>
      <c r="N213" s="91"/>
      <c r="O213" s="91"/>
      <c r="P213" s="91"/>
      <c r="Q213" s="91"/>
      <c r="R213" s="91"/>
      <c r="S213" s="91"/>
      <c r="T213" s="91"/>
      <c r="U213" s="91"/>
      <c r="V213" s="91"/>
      <c r="W213" s="91"/>
      <c r="X213" s="91"/>
      <c r="Y213" s="91"/>
      <c r="Z213" s="91"/>
    </row>
    <row r="214" ht="72.0" customHeight="1">
      <c r="A214" s="96"/>
      <c r="B214" s="101" t="s">
        <v>1045</v>
      </c>
      <c r="C214" s="101" t="s">
        <v>116</v>
      </c>
      <c r="D214" s="101" t="s">
        <v>1046</v>
      </c>
      <c r="E214" s="101"/>
      <c r="F214" s="102" t="s">
        <v>1047</v>
      </c>
      <c r="G214" s="102" t="s">
        <v>1048</v>
      </c>
      <c r="H214" s="103" t="s">
        <v>1049</v>
      </c>
      <c r="I214" s="101"/>
      <c r="J214" s="101"/>
      <c r="K214" s="101"/>
      <c r="L214" s="101" t="s">
        <v>215</v>
      </c>
      <c r="M214" s="91"/>
      <c r="N214" s="91"/>
      <c r="O214" s="91"/>
      <c r="P214" s="91"/>
      <c r="Q214" s="91"/>
      <c r="R214" s="91"/>
      <c r="S214" s="91"/>
      <c r="T214" s="91"/>
      <c r="U214" s="91"/>
      <c r="V214" s="91"/>
      <c r="W214" s="91"/>
      <c r="X214" s="91"/>
      <c r="Y214" s="91"/>
      <c r="Z214" s="91"/>
    </row>
    <row r="215" ht="72.0" customHeight="1">
      <c r="A215" s="96">
        <v>2.0</v>
      </c>
      <c r="B215" s="101" t="s">
        <v>1050</v>
      </c>
      <c r="C215" s="101" t="s">
        <v>116</v>
      </c>
      <c r="D215" s="101" t="s">
        <v>1051</v>
      </c>
      <c r="E215" s="101"/>
      <c r="F215" s="101"/>
      <c r="G215" s="104" t="s">
        <v>1052</v>
      </c>
      <c r="H215" s="103" t="s">
        <v>1053</v>
      </c>
      <c r="I215" s="101"/>
      <c r="J215" s="101"/>
      <c r="K215" s="101"/>
      <c r="L215" s="103" t="s">
        <v>215</v>
      </c>
      <c r="M215" s="91"/>
      <c r="N215" s="91"/>
      <c r="O215" s="91"/>
      <c r="P215" s="91"/>
      <c r="Q215" s="91"/>
      <c r="R215" s="91"/>
      <c r="S215" s="91"/>
      <c r="T215" s="91"/>
      <c r="U215" s="91"/>
      <c r="V215" s="91"/>
      <c r="W215" s="91"/>
      <c r="X215" s="91"/>
      <c r="Y215" s="91"/>
      <c r="Z215" s="91"/>
    </row>
    <row r="216" ht="72.0" customHeight="1">
      <c r="A216" s="96">
        <v>2.0</v>
      </c>
      <c r="B216" s="101" t="s">
        <v>1054</v>
      </c>
      <c r="C216" s="101" t="s">
        <v>116</v>
      </c>
      <c r="D216" s="101" t="s">
        <v>1055</v>
      </c>
      <c r="E216" s="101"/>
      <c r="F216" s="101"/>
      <c r="G216" s="104" t="s">
        <v>1056</v>
      </c>
      <c r="H216" s="103" t="s">
        <v>1057</v>
      </c>
      <c r="I216" s="101"/>
      <c r="J216" s="101"/>
      <c r="K216" s="101"/>
      <c r="L216" s="103" t="s">
        <v>215</v>
      </c>
      <c r="M216" s="91"/>
      <c r="N216" s="91"/>
      <c r="O216" s="91"/>
      <c r="P216" s="91"/>
      <c r="Q216" s="91"/>
      <c r="R216" s="91"/>
      <c r="S216" s="91"/>
      <c r="T216" s="91"/>
      <c r="U216" s="91"/>
      <c r="V216" s="91"/>
      <c r="W216" s="91"/>
      <c r="X216" s="91"/>
      <c r="Y216" s="91"/>
      <c r="Z216" s="91"/>
    </row>
    <row r="217" ht="72.0" customHeight="1">
      <c r="A217" s="96">
        <v>3.0</v>
      </c>
      <c r="B217" s="101" t="s">
        <v>1058</v>
      </c>
      <c r="C217" s="101" t="s">
        <v>116</v>
      </c>
      <c r="D217" s="101" t="s">
        <v>1059</v>
      </c>
      <c r="E217" s="101"/>
      <c r="F217" s="101"/>
      <c r="G217" s="104" t="s">
        <v>1060</v>
      </c>
      <c r="H217" s="103" t="s">
        <v>1061</v>
      </c>
      <c r="I217" s="101"/>
      <c r="J217" s="101"/>
      <c r="K217" s="101"/>
      <c r="L217" s="103" t="s">
        <v>215</v>
      </c>
      <c r="M217" s="91"/>
      <c r="N217" s="91"/>
      <c r="O217" s="91"/>
      <c r="P217" s="91"/>
      <c r="Q217" s="91"/>
      <c r="R217" s="91"/>
      <c r="S217" s="91"/>
      <c r="T217" s="91"/>
      <c r="U217" s="91"/>
      <c r="V217" s="91"/>
      <c r="W217" s="91"/>
      <c r="X217" s="91"/>
      <c r="Y217" s="91"/>
      <c r="Z217" s="91"/>
    </row>
    <row r="218" ht="72.0" customHeight="1">
      <c r="A218" s="96"/>
      <c r="B218" s="115" t="s">
        <v>117</v>
      </c>
      <c r="C218" s="25"/>
      <c r="D218" s="25"/>
      <c r="E218" s="25"/>
      <c r="F218" s="25"/>
      <c r="G218" s="25"/>
      <c r="H218" s="25"/>
      <c r="I218" s="25"/>
      <c r="J218" s="25"/>
      <c r="K218" s="26"/>
      <c r="L218" s="101"/>
      <c r="M218" s="91"/>
      <c r="N218" s="91"/>
      <c r="O218" s="91"/>
      <c r="P218" s="91"/>
      <c r="Q218" s="91"/>
      <c r="R218" s="91"/>
      <c r="S218" s="91"/>
      <c r="T218" s="91"/>
      <c r="U218" s="91"/>
      <c r="V218" s="91"/>
      <c r="W218" s="91"/>
      <c r="X218" s="91"/>
      <c r="Y218" s="91"/>
      <c r="Z218" s="91"/>
    </row>
    <row r="219" ht="72.0" customHeight="1">
      <c r="A219" s="96"/>
      <c r="B219" s="99" t="s">
        <v>1062</v>
      </c>
      <c r="C219" s="25"/>
      <c r="D219" s="25"/>
      <c r="E219" s="25"/>
      <c r="F219" s="25"/>
      <c r="G219" s="25"/>
      <c r="H219" s="25"/>
      <c r="I219" s="25"/>
      <c r="J219" s="25"/>
      <c r="K219" s="26"/>
      <c r="L219" s="101"/>
      <c r="M219" s="91"/>
      <c r="N219" s="91"/>
      <c r="O219" s="91"/>
      <c r="P219" s="91"/>
      <c r="Q219" s="91"/>
      <c r="R219" s="91"/>
      <c r="S219" s="91"/>
      <c r="T219" s="91"/>
      <c r="U219" s="91"/>
      <c r="V219" s="91"/>
      <c r="W219" s="91"/>
      <c r="X219" s="91"/>
      <c r="Y219" s="91"/>
      <c r="Z219" s="91"/>
    </row>
    <row r="220" ht="72.0" customHeight="1">
      <c r="A220" s="96"/>
      <c r="B220" s="101" t="s">
        <v>1063</v>
      </c>
      <c r="C220" s="101" t="s">
        <v>1064</v>
      </c>
      <c r="D220" s="101" t="s">
        <v>1065</v>
      </c>
      <c r="E220" s="101"/>
      <c r="F220" s="102" t="s">
        <v>1066</v>
      </c>
      <c r="G220" s="102" t="s">
        <v>1067</v>
      </c>
      <c r="H220" s="103" t="s">
        <v>1068</v>
      </c>
      <c r="I220" s="101"/>
      <c r="J220" s="101"/>
      <c r="K220" s="101"/>
      <c r="L220" s="101" t="s">
        <v>215</v>
      </c>
      <c r="M220" s="91"/>
      <c r="N220" s="91"/>
      <c r="O220" s="91"/>
      <c r="P220" s="91"/>
      <c r="Q220" s="91"/>
      <c r="R220" s="91"/>
      <c r="S220" s="91"/>
      <c r="T220" s="91"/>
      <c r="U220" s="91"/>
      <c r="V220" s="91"/>
      <c r="W220" s="91"/>
      <c r="X220" s="91"/>
      <c r="Y220" s="91"/>
      <c r="Z220" s="91"/>
    </row>
    <row r="221" ht="72.0" customHeight="1">
      <c r="A221" s="96"/>
      <c r="B221" s="101" t="s">
        <v>1069</v>
      </c>
      <c r="C221" s="101" t="s">
        <v>1064</v>
      </c>
      <c r="D221" s="101" t="s">
        <v>1070</v>
      </c>
      <c r="E221" s="101"/>
      <c r="F221" s="102" t="s">
        <v>1071</v>
      </c>
      <c r="G221" s="101" t="s">
        <v>1072</v>
      </c>
      <c r="H221" s="103" t="s">
        <v>1073</v>
      </c>
      <c r="I221" s="101"/>
      <c r="J221" s="101"/>
      <c r="K221" s="101"/>
      <c r="L221" s="103" t="s">
        <v>215</v>
      </c>
      <c r="M221" s="91"/>
      <c r="N221" s="91"/>
      <c r="O221" s="91"/>
      <c r="P221" s="91"/>
      <c r="Q221" s="91"/>
      <c r="R221" s="91"/>
      <c r="S221" s="91"/>
      <c r="T221" s="91"/>
      <c r="U221" s="91"/>
      <c r="V221" s="91"/>
      <c r="W221" s="91"/>
      <c r="X221" s="91"/>
      <c r="Y221" s="91"/>
      <c r="Z221" s="91"/>
    </row>
    <row r="222" ht="72.0" customHeight="1">
      <c r="A222" s="96"/>
      <c r="B222" s="101" t="s">
        <v>1074</v>
      </c>
      <c r="C222" s="101" t="s">
        <v>1064</v>
      </c>
      <c r="D222" s="101" t="s">
        <v>1075</v>
      </c>
      <c r="E222" s="101"/>
      <c r="F222" s="102" t="s">
        <v>1076</v>
      </c>
      <c r="G222" s="102" t="s">
        <v>1077</v>
      </c>
      <c r="H222" s="103" t="s">
        <v>1078</v>
      </c>
      <c r="I222" s="106"/>
      <c r="J222" s="101"/>
      <c r="K222" s="106"/>
      <c r="L222" s="101" t="s">
        <v>215</v>
      </c>
      <c r="M222" s="91"/>
      <c r="N222" s="91"/>
      <c r="O222" s="91"/>
      <c r="P222" s="91"/>
      <c r="Q222" s="91"/>
      <c r="R222" s="91"/>
      <c r="S222" s="91"/>
      <c r="T222" s="91"/>
      <c r="U222" s="91"/>
      <c r="V222" s="91"/>
      <c r="W222" s="91"/>
      <c r="X222" s="91"/>
      <c r="Y222" s="91"/>
      <c r="Z222" s="91"/>
    </row>
    <row r="223" ht="72.0" customHeight="1">
      <c r="A223" s="96"/>
      <c r="B223" s="101" t="s">
        <v>1079</v>
      </c>
      <c r="C223" s="101" t="s">
        <v>1064</v>
      </c>
      <c r="D223" s="101" t="s">
        <v>1080</v>
      </c>
      <c r="E223" s="101"/>
      <c r="F223" s="102" t="s">
        <v>1081</v>
      </c>
      <c r="G223" s="102" t="s">
        <v>1082</v>
      </c>
      <c r="H223" s="103" t="s">
        <v>1083</v>
      </c>
      <c r="I223" s="106"/>
      <c r="J223" s="101"/>
      <c r="K223" s="106"/>
      <c r="L223" s="101" t="s">
        <v>215</v>
      </c>
      <c r="M223" s="91"/>
      <c r="N223" s="91"/>
      <c r="O223" s="91"/>
      <c r="P223" s="91"/>
      <c r="Q223" s="91"/>
      <c r="R223" s="91"/>
      <c r="S223" s="91"/>
      <c r="T223" s="91"/>
      <c r="U223" s="91"/>
      <c r="V223" s="91"/>
      <c r="W223" s="91"/>
      <c r="X223" s="91"/>
      <c r="Y223" s="91"/>
      <c r="Z223" s="91"/>
    </row>
    <row r="224" ht="72.0" customHeight="1">
      <c r="A224" s="96"/>
      <c r="B224" s="101" t="s">
        <v>1084</v>
      </c>
      <c r="C224" s="101" t="s">
        <v>1064</v>
      </c>
      <c r="D224" s="101" t="s">
        <v>1085</v>
      </c>
      <c r="E224" s="101"/>
      <c r="F224" s="102" t="s">
        <v>1086</v>
      </c>
      <c r="G224" s="102" t="s">
        <v>1087</v>
      </c>
      <c r="H224" s="103" t="s">
        <v>1088</v>
      </c>
      <c r="I224" s="106"/>
      <c r="J224" s="101"/>
      <c r="K224" s="106"/>
      <c r="L224" s="101" t="s">
        <v>215</v>
      </c>
      <c r="M224" s="91"/>
      <c r="N224" s="91"/>
      <c r="O224" s="91"/>
      <c r="P224" s="91"/>
      <c r="Q224" s="91"/>
      <c r="R224" s="91"/>
      <c r="S224" s="91"/>
      <c r="T224" s="91"/>
      <c r="U224" s="91"/>
      <c r="V224" s="91"/>
      <c r="W224" s="91"/>
      <c r="X224" s="91"/>
      <c r="Y224" s="91"/>
      <c r="Z224" s="91"/>
    </row>
    <row r="225" ht="72.0" customHeight="1">
      <c r="A225" s="96">
        <v>2.0</v>
      </c>
      <c r="B225" s="101" t="s">
        <v>1089</v>
      </c>
      <c r="C225" s="101" t="s">
        <v>1064</v>
      </c>
      <c r="D225" s="101" t="s">
        <v>1090</v>
      </c>
      <c r="E225" s="101"/>
      <c r="F225" s="101"/>
      <c r="G225" s="104" t="s">
        <v>1091</v>
      </c>
      <c r="H225" s="103" t="s">
        <v>1092</v>
      </c>
      <c r="I225" s="106"/>
      <c r="J225" s="101"/>
      <c r="K225" s="106"/>
      <c r="L225" s="103" t="s">
        <v>215</v>
      </c>
      <c r="M225" s="91"/>
      <c r="N225" s="91"/>
      <c r="O225" s="91"/>
      <c r="P225" s="91"/>
      <c r="Q225" s="91"/>
      <c r="R225" s="91"/>
      <c r="S225" s="91"/>
      <c r="T225" s="91"/>
      <c r="U225" s="91"/>
      <c r="V225" s="91"/>
      <c r="W225" s="91"/>
      <c r="X225" s="91"/>
      <c r="Y225" s="91"/>
      <c r="Z225" s="91"/>
    </row>
    <row r="226" ht="72.0" customHeight="1">
      <c r="A226" s="96">
        <v>3.0</v>
      </c>
      <c r="B226" s="101" t="s">
        <v>1093</v>
      </c>
      <c r="C226" s="101" t="s">
        <v>1064</v>
      </c>
      <c r="D226" s="101" t="s">
        <v>1094</v>
      </c>
      <c r="E226" s="101"/>
      <c r="F226" s="101"/>
      <c r="G226" s="104" t="s">
        <v>1095</v>
      </c>
      <c r="H226" s="103" t="s">
        <v>1096</v>
      </c>
      <c r="I226" s="106"/>
      <c r="J226" s="101"/>
      <c r="K226" s="106"/>
      <c r="L226" s="103" t="s">
        <v>215</v>
      </c>
      <c r="M226" s="91"/>
      <c r="N226" s="91"/>
      <c r="O226" s="91"/>
      <c r="P226" s="91"/>
      <c r="Q226" s="91"/>
      <c r="R226" s="91"/>
      <c r="S226" s="91"/>
      <c r="T226" s="91"/>
      <c r="U226" s="91"/>
      <c r="V226" s="91"/>
      <c r="W226" s="91"/>
      <c r="X226" s="91"/>
      <c r="Y226" s="91"/>
      <c r="Z226" s="91"/>
    </row>
    <row r="227" ht="72.0" customHeight="1">
      <c r="A227" s="96"/>
      <c r="B227" s="101" t="s">
        <v>1097</v>
      </c>
      <c r="C227" s="101" t="s">
        <v>119</v>
      </c>
      <c r="D227" s="101" t="s">
        <v>1098</v>
      </c>
      <c r="E227" s="101"/>
      <c r="F227" s="102" t="s">
        <v>1099</v>
      </c>
      <c r="G227" s="102" t="s">
        <v>1100</v>
      </c>
      <c r="H227" s="103" t="s">
        <v>1101</v>
      </c>
      <c r="I227" s="106"/>
      <c r="J227" s="101"/>
      <c r="K227" s="106"/>
      <c r="L227" s="101" t="s">
        <v>215</v>
      </c>
      <c r="M227" s="91"/>
      <c r="N227" s="91"/>
      <c r="O227" s="91"/>
      <c r="P227" s="91"/>
      <c r="Q227" s="91"/>
      <c r="R227" s="91"/>
      <c r="S227" s="91"/>
      <c r="T227" s="91"/>
      <c r="U227" s="91"/>
      <c r="V227" s="91"/>
      <c r="W227" s="91"/>
      <c r="X227" s="91"/>
      <c r="Y227" s="91"/>
      <c r="Z227" s="91"/>
    </row>
    <row r="228" ht="72.0" customHeight="1">
      <c r="A228" s="96"/>
      <c r="B228" s="101" t="s">
        <v>1102</v>
      </c>
      <c r="C228" s="101" t="s">
        <v>119</v>
      </c>
      <c r="D228" s="101" t="s">
        <v>1103</v>
      </c>
      <c r="E228" s="101"/>
      <c r="F228" s="102" t="s">
        <v>1104</v>
      </c>
      <c r="G228" s="102" t="s">
        <v>1105</v>
      </c>
      <c r="H228" s="103" t="s">
        <v>1106</v>
      </c>
      <c r="I228" s="106"/>
      <c r="J228" s="101"/>
      <c r="K228" s="106"/>
      <c r="L228" s="101" t="s">
        <v>215</v>
      </c>
      <c r="M228" s="91"/>
      <c r="N228" s="91"/>
      <c r="O228" s="91"/>
      <c r="P228" s="91"/>
      <c r="Q228" s="91"/>
      <c r="R228" s="91"/>
      <c r="S228" s="91"/>
      <c r="T228" s="91"/>
      <c r="U228" s="91"/>
      <c r="V228" s="91"/>
      <c r="W228" s="91"/>
      <c r="X228" s="91"/>
      <c r="Y228" s="91"/>
      <c r="Z228" s="91"/>
    </row>
    <row r="229" ht="72.0" customHeight="1">
      <c r="A229" s="96"/>
      <c r="B229" s="101" t="s">
        <v>1107</v>
      </c>
      <c r="C229" s="101" t="s">
        <v>119</v>
      </c>
      <c r="D229" s="101" t="s">
        <v>1108</v>
      </c>
      <c r="E229" s="101"/>
      <c r="F229" s="102" t="s">
        <v>1109</v>
      </c>
      <c r="G229" s="101" t="s">
        <v>1110</v>
      </c>
      <c r="H229" s="103" t="s">
        <v>1111</v>
      </c>
      <c r="I229" s="106"/>
      <c r="J229" s="101"/>
      <c r="K229" s="106"/>
      <c r="L229" s="103" t="s">
        <v>215</v>
      </c>
      <c r="M229" s="91"/>
      <c r="N229" s="91"/>
      <c r="O229" s="91"/>
      <c r="P229" s="91"/>
      <c r="Q229" s="91"/>
      <c r="R229" s="91"/>
      <c r="S229" s="91"/>
      <c r="T229" s="91"/>
      <c r="U229" s="91"/>
      <c r="V229" s="91"/>
      <c r="W229" s="91"/>
      <c r="X229" s="91"/>
      <c r="Y229" s="91"/>
      <c r="Z229" s="91"/>
    </row>
    <row r="230" ht="72.0" customHeight="1">
      <c r="A230" s="96"/>
      <c r="B230" s="101" t="s">
        <v>1112</v>
      </c>
      <c r="C230" s="101" t="s">
        <v>119</v>
      </c>
      <c r="D230" s="101" t="s">
        <v>1113</v>
      </c>
      <c r="E230" s="101"/>
      <c r="F230" s="102" t="s">
        <v>1114</v>
      </c>
      <c r="G230" s="102" t="s">
        <v>1115</v>
      </c>
      <c r="H230" s="103" t="s">
        <v>1116</v>
      </c>
      <c r="I230" s="106"/>
      <c r="J230" s="101"/>
      <c r="K230" s="106"/>
      <c r="L230" s="101" t="s">
        <v>215</v>
      </c>
      <c r="M230" s="91"/>
      <c r="N230" s="91"/>
      <c r="O230" s="91"/>
      <c r="P230" s="91"/>
      <c r="Q230" s="91"/>
      <c r="R230" s="91"/>
      <c r="S230" s="91"/>
      <c r="T230" s="91"/>
      <c r="U230" s="91"/>
      <c r="V230" s="91"/>
      <c r="W230" s="91"/>
      <c r="X230" s="91"/>
      <c r="Y230" s="91"/>
      <c r="Z230" s="91"/>
    </row>
    <row r="231" ht="72.0" customHeight="1">
      <c r="A231" s="96">
        <v>2.0</v>
      </c>
      <c r="B231" s="101" t="s">
        <v>1117</v>
      </c>
      <c r="C231" s="101" t="s">
        <v>119</v>
      </c>
      <c r="D231" s="101" t="s">
        <v>1118</v>
      </c>
      <c r="E231" s="101"/>
      <c r="F231" s="102" t="s">
        <v>1114</v>
      </c>
      <c r="G231" s="104" t="s">
        <v>1119</v>
      </c>
      <c r="H231" s="103" t="s">
        <v>1120</v>
      </c>
      <c r="I231" s="106"/>
      <c r="J231" s="101"/>
      <c r="K231" s="106"/>
      <c r="L231" s="103" t="s">
        <v>215</v>
      </c>
      <c r="M231" s="91"/>
      <c r="N231" s="91"/>
      <c r="O231" s="91"/>
      <c r="P231" s="91"/>
      <c r="Q231" s="91"/>
      <c r="R231" s="91"/>
      <c r="S231" s="91"/>
      <c r="T231" s="91"/>
      <c r="U231" s="91"/>
      <c r="V231" s="91"/>
      <c r="W231" s="91"/>
      <c r="X231" s="91"/>
      <c r="Y231" s="91"/>
      <c r="Z231" s="91"/>
    </row>
    <row r="232" ht="72.0" customHeight="1">
      <c r="A232" s="96">
        <v>2.0</v>
      </c>
      <c r="B232" s="101" t="s">
        <v>1121</v>
      </c>
      <c r="C232" s="101" t="s">
        <v>119</v>
      </c>
      <c r="D232" s="101" t="s">
        <v>1122</v>
      </c>
      <c r="E232" s="101"/>
      <c r="F232" s="102" t="s">
        <v>1114</v>
      </c>
      <c r="G232" s="104" t="s">
        <v>1123</v>
      </c>
      <c r="H232" s="103" t="s">
        <v>1124</v>
      </c>
      <c r="I232" s="106"/>
      <c r="J232" s="101"/>
      <c r="K232" s="106"/>
      <c r="L232" s="103" t="s">
        <v>215</v>
      </c>
      <c r="M232" s="91"/>
      <c r="N232" s="91"/>
      <c r="O232" s="91"/>
      <c r="P232" s="91"/>
      <c r="Q232" s="91"/>
      <c r="R232" s="91"/>
      <c r="S232" s="91"/>
      <c r="T232" s="91"/>
      <c r="U232" s="91"/>
      <c r="V232" s="91"/>
      <c r="W232" s="91"/>
      <c r="X232" s="91"/>
      <c r="Y232" s="91"/>
      <c r="Z232" s="91"/>
    </row>
    <row r="233" ht="72.0" customHeight="1">
      <c r="A233" s="96">
        <v>3.0</v>
      </c>
      <c r="B233" s="101" t="s">
        <v>1125</v>
      </c>
      <c r="C233" s="101" t="s">
        <v>119</v>
      </c>
      <c r="D233" s="101" t="s">
        <v>1126</v>
      </c>
      <c r="E233" s="101"/>
      <c r="F233" s="102" t="s">
        <v>1114</v>
      </c>
      <c r="G233" s="104" t="s">
        <v>1127</v>
      </c>
      <c r="H233" s="103" t="s">
        <v>1128</v>
      </c>
      <c r="I233" s="106"/>
      <c r="J233" s="101"/>
      <c r="K233" s="106"/>
      <c r="L233" s="103" t="s">
        <v>215</v>
      </c>
      <c r="M233" s="91"/>
      <c r="N233" s="91"/>
      <c r="O233" s="91"/>
      <c r="P233" s="91"/>
      <c r="Q233" s="91"/>
      <c r="R233" s="91"/>
      <c r="S233" s="91"/>
      <c r="T233" s="91"/>
      <c r="U233" s="91"/>
      <c r="V233" s="91"/>
      <c r="W233" s="91"/>
      <c r="X233" s="91"/>
      <c r="Y233" s="91"/>
      <c r="Z233" s="91"/>
    </row>
    <row r="234" ht="24.0" customHeight="1">
      <c r="B234" s="90"/>
      <c r="C234" s="90"/>
      <c r="D234" s="90"/>
      <c r="E234" s="90"/>
      <c r="F234" s="90"/>
      <c r="G234" s="90"/>
      <c r="H234" s="90"/>
      <c r="I234" s="90"/>
      <c r="J234" s="90"/>
      <c r="K234" s="90"/>
      <c r="L234" s="90"/>
      <c r="M234" s="91">
        <f>COUNTIF(L:L,"Implemented")/(COUNTIF(L:L,"Implemented")+COUNTIF(L:L,"Not Implemented"))</f>
        <v>0.9627659574</v>
      </c>
      <c r="N234" s="91"/>
      <c r="O234" s="91"/>
      <c r="P234" s="91"/>
      <c r="Q234" s="91"/>
      <c r="R234" s="91"/>
      <c r="S234" s="91"/>
      <c r="T234" s="91"/>
      <c r="U234" s="91"/>
      <c r="V234" s="91"/>
      <c r="W234" s="91"/>
      <c r="X234" s="91"/>
      <c r="Y234" s="91"/>
      <c r="Z234" s="91"/>
    </row>
    <row r="235" ht="24.0" customHeight="1">
      <c r="B235" s="90"/>
      <c r="C235" s="90"/>
      <c r="D235" s="90"/>
      <c r="E235" s="90"/>
      <c r="F235" s="90"/>
      <c r="G235" s="90"/>
      <c r="H235" s="90"/>
      <c r="I235" s="90"/>
      <c r="J235" s="90"/>
      <c r="K235" s="90"/>
      <c r="L235" s="90"/>
      <c r="M235" s="91"/>
      <c r="N235" s="91"/>
      <c r="O235" s="91"/>
      <c r="P235" s="91"/>
      <c r="Q235" s="91"/>
      <c r="R235" s="91"/>
      <c r="S235" s="91"/>
      <c r="T235" s="91"/>
      <c r="U235" s="91"/>
      <c r="V235" s="91"/>
      <c r="W235" s="91"/>
      <c r="X235" s="91"/>
      <c r="Y235" s="91"/>
      <c r="Z235" s="91"/>
    </row>
    <row r="236" ht="24.0" customHeight="1">
      <c r="B236" s="90"/>
      <c r="C236" s="90"/>
      <c r="D236" s="90"/>
      <c r="E236" s="90"/>
      <c r="F236" s="90"/>
      <c r="G236" s="90"/>
      <c r="H236" s="90"/>
      <c r="I236" s="90"/>
      <c r="J236" s="90"/>
      <c r="K236" s="90"/>
      <c r="L236" s="90"/>
      <c r="M236" s="91"/>
      <c r="N236" s="91"/>
      <c r="O236" s="91"/>
      <c r="P236" s="91"/>
      <c r="Q236" s="91"/>
      <c r="R236" s="91"/>
      <c r="S236" s="91"/>
      <c r="T236" s="91"/>
      <c r="U236" s="91"/>
      <c r="V236" s="91"/>
      <c r="W236" s="91"/>
      <c r="X236" s="91"/>
      <c r="Y236" s="91"/>
      <c r="Z236" s="91"/>
    </row>
    <row r="237" ht="24.0" customHeight="1">
      <c r="B237" s="90"/>
      <c r="C237" s="90"/>
      <c r="D237" s="90"/>
      <c r="E237" s="90"/>
      <c r="F237" s="90"/>
      <c r="G237" s="90"/>
      <c r="H237" s="90"/>
      <c r="I237" s="90"/>
      <c r="J237" s="90"/>
      <c r="K237" s="90"/>
      <c r="L237" s="90"/>
      <c r="M237" s="91"/>
      <c r="N237" s="91"/>
      <c r="O237" s="91"/>
      <c r="P237" s="91"/>
      <c r="Q237" s="91"/>
      <c r="R237" s="91"/>
      <c r="S237" s="91"/>
      <c r="T237" s="91"/>
      <c r="U237" s="91"/>
      <c r="V237" s="91"/>
      <c r="W237" s="91"/>
      <c r="X237" s="91"/>
      <c r="Y237" s="91"/>
      <c r="Z237" s="91"/>
    </row>
    <row r="238" ht="24.0" customHeight="1">
      <c r="B238" s="90"/>
      <c r="C238" s="90"/>
      <c r="D238" s="90"/>
      <c r="E238" s="90"/>
      <c r="F238" s="90"/>
      <c r="G238" s="90"/>
      <c r="H238" s="90"/>
      <c r="I238" s="90"/>
      <c r="J238" s="90"/>
      <c r="K238" s="90"/>
      <c r="L238" s="90"/>
      <c r="M238" s="91"/>
      <c r="N238" s="91"/>
      <c r="O238" s="91"/>
      <c r="P238" s="91"/>
      <c r="Q238" s="91"/>
      <c r="R238" s="91"/>
      <c r="S238" s="91"/>
      <c r="T238" s="91"/>
      <c r="U238" s="91"/>
      <c r="V238" s="91"/>
      <c r="W238" s="91"/>
      <c r="X238" s="91"/>
      <c r="Y238" s="91"/>
      <c r="Z238" s="91"/>
    </row>
    <row r="239" ht="24.0" customHeight="1">
      <c r="B239" s="90"/>
      <c r="C239" s="90"/>
      <c r="D239" s="90"/>
      <c r="E239" s="90"/>
      <c r="F239" s="90"/>
      <c r="G239" s="90"/>
      <c r="H239" s="90"/>
      <c r="I239" s="90"/>
      <c r="J239" s="90"/>
      <c r="K239" s="90"/>
      <c r="L239" s="90"/>
      <c r="M239" s="91"/>
      <c r="N239" s="91"/>
      <c r="O239" s="91"/>
      <c r="P239" s="91"/>
      <c r="Q239" s="91"/>
      <c r="R239" s="91"/>
      <c r="S239" s="91"/>
      <c r="T239" s="91"/>
      <c r="U239" s="91"/>
      <c r="V239" s="91"/>
      <c r="W239" s="91"/>
      <c r="X239" s="91"/>
      <c r="Y239" s="91"/>
      <c r="Z239" s="91"/>
    </row>
    <row r="240" ht="24.0" customHeight="1">
      <c r="B240" s="90"/>
      <c r="C240" s="90"/>
      <c r="D240" s="90"/>
      <c r="E240" s="90"/>
      <c r="F240" s="90"/>
      <c r="G240" s="90"/>
      <c r="H240" s="90"/>
      <c r="I240" s="90"/>
      <c r="J240" s="90"/>
      <c r="K240" s="90"/>
      <c r="L240" s="90"/>
      <c r="M240" s="91"/>
      <c r="N240" s="91"/>
      <c r="O240" s="91"/>
      <c r="P240" s="91"/>
      <c r="Q240" s="91"/>
      <c r="R240" s="91"/>
      <c r="S240" s="91"/>
      <c r="T240" s="91"/>
      <c r="U240" s="91"/>
      <c r="V240" s="91"/>
      <c r="W240" s="91"/>
      <c r="X240" s="91"/>
      <c r="Y240" s="91"/>
      <c r="Z240" s="91"/>
    </row>
    <row r="241" ht="24.0" customHeight="1">
      <c r="B241" s="90"/>
      <c r="C241" s="90"/>
      <c r="D241" s="90"/>
      <c r="E241" s="90"/>
      <c r="F241" s="90"/>
      <c r="G241" s="90"/>
      <c r="H241" s="90"/>
      <c r="I241" s="90"/>
      <c r="J241" s="90"/>
      <c r="K241" s="90"/>
      <c r="L241" s="90"/>
      <c r="M241" s="91"/>
      <c r="N241" s="91"/>
      <c r="O241" s="91"/>
      <c r="P241" s="91"/>
      <c r="Q241" s="91"/>
      <c r="R241" s="91"/>
      <c r="S241" s="91"/>
      <c r="T241" s="91"/>
      <c r="U241" s="91"/>
      <c r="V241" s="91"/>
      <c r="W241" s="91"/>
      <c r="X241" s="91"/>
      <c r="Y241" s="91"/>
      <c r="Z241" s="91"/>
    </row>
    <row r="242" ht="24.0" customHeight="1">
      <c r="B242" s="90"/>
      <c r="C242" s="90"/>
      <c r="D242" s="90"/>
      <c r="E242" s="90"/>
      <c r="F242" s="90"/>
      <c r="G242" s="90"/>
      <c r="H242" s="90"/>
      <c r="I242" s="90"/>
      <c r="J242" s="90"/>
      <c r="K242" s="90"/>
      <c r="L242" s="90"/>
      <c r="M242" s="91"/>
      <c r="N242" s="91"/>
      <c r="O242" s="91"/>
      <c r="P242" s="91"/>
      <c r="Q242" s="91"/>
      <c r="R242" s="91"/>
      <c r="S242" s="91"/>
      <c r="T242" s="91"/>
      <c r="U242" s="91"/>
      <c r="V242" s="91"/>
      <c r="W242" s="91"/>
      <c r="X242" s="91"/>
      <c r="Y242" s="91"/>
      <c r="Z242" s="91"/>
    </row>
    <row r="243" ht="24.0" customHeight="1">
      <c r="B243" s="90"/>
      <c r="C243" s="90"/>
      <c r="D243" s="90"/>
      <c r="E243" s="90"/>
      <c r="F243" s="90"/>
      <c r="G243" s="90"/>
      <c r="H243" s="90"/>
      <c r="I243" s="90"/>
      <c r="J243" s="90"/>
      <c r="K243" s="90"/>
      <c r="L243" s="90"/>
      <c r="M243" s="91"/>
      <c r="N243" s="91"/>
      <c r="O243" s="91"/>
      <c r="P243" s="91"/>
      <c r="Q243" s="91"/>
      <c r="R243" s="91"/>
      <c r="S243" s="91"/>
      <c r="T243" s="91"/>
      <c r="U243" s="91"/>
      <c r="V243" s="91"/>
      <c r="W243" s="91"/>
      <c r="X243" s="91"/>
      <c r="Y243" s="91"/>
      <c r="Z243" s="91"/>
    </row>
    <row r="244" ht="24.0" customHeight="1">
      <c r="B244" s="90"/>
      <c r="C244" s="90"/>
      <c r="D244" s="90"/>
      <c r="E244" s="90"/>
      <c r="F244" s="90"/>
      <c r="G244" s="90"/>
      <c r="H244" s="90"/>
      <c r="I244" s="90"/>
      <c r="J244" s="90"/>
      <c r="K244" s="90"/>
      <c r="L244" s="90"/>
      <c r="M244" s="91"/>
      <c r="N244" s="91"/>
      <c r="O244" s="91"/>
      <c r="P244" s="91"/>
      <c r="Q244" s="91"/>
      <c r="R244" s="91"/>
      <c r="S244" s="91"/>
      <c r="T244" s="91"/>
      <c r="U244" s="91"/>
      <c r="V244" s="91"/>
      <c r="W244" s="91"/>
      <c r="X244" s="91"/>
      <c r="Y244" s="91"/>
      <c r="Z244" s="91"/>
    </row>
    <row r="245" ht="24.0" customHeight="1">
      <c r="B245" s="90"/>
      <c r="C245" s="90"/>
      <c r="D245" s="90"/>
      <c r="E245" s="90"/>
      <c r="F245" s="90"/>
      <c r="G245" s="90"/>
      <c r="H245" s="90"/>
      <c r="I245" s="90"/>
      <c r="J245" s="90"/>
      <c r="K245" s="90"/>
      <c r="L245" s="90"/>
      <c r="M245" s="91"/>
      <c r="N245" s="91"/>
      <c r="O245" s="91"/>
      <c r="P245" s="91"/>
      <c r="Q245" s="91"/>
      <c r="R245" s="91"/>
      <c r="S245" s="91"/>
      <c r="T245" s="91"/>
      <c r="U245" s="91"/>
      <c r="V245" s="91"/>
      <c r="W245" s="91"/>
      <c r="X245" s="91"/>
      <c r="Y245" s="91"/>
      <c r="Z245" s="91"/>
    </row>
    <row r="246" ht="24.0" customHeight="1">
      <c r="B246" s="90"/>
      <c r="C246" s="90"/>
      <c r="D246" s="90"/>
      <c r="E246" s="90"/>
      <c r="F246" s="90"/>
      <c r="G246" s="90"/>
      <c r="H246" s="90"/>
      <c r="I246" s="90"/>
      <c r="J246" s="90"/>
      <c r="K246" s="90"/>
      <c r="L246" s="90"/>
      <c r="M246" s="91"/>
      <c r="N246" s="91"/>
      <c r="O246" s="91"/>
      <c r="P246" s="91"/>
      <c r="Q246" s="91"/>
      <c r="R246" s="91"/>
      <c r="S246" s="91"/>
      <c r="T246" s="91"/>
      <c r="U246" s="91"/>
      <c r="V246" s="91"/>
      <c r="W246" s="91"/>
      <c r="X246" s="91"/>
      <c r="Y246" s="91"/>
      <c r="Z246" s="91"/>
    </row>
    <row r="247" ht="24.0" customHeight="1">
      <c r="B247" s="90"/>
      <c r="C247" s="90"/>
      <c r="D247" s="90"/>
      <c r="E247" s="90"/>
      <c r="F247" s="90"/>
      <c r="G247" s="90"/>
      <c r="H247" s="90"/>
      <c r="I247" s="90"/>
      <c r="J247" s="90"/>
      <c r="K247" s="90"/>
      <c r="L247" s="90"/>
      <c r="M247" s="91"/>
      <c r="N247" s="91"/>
      <c r="O247" s="91"/>
      <c r="P247" s="91"/>
      <c r="Q247" s="91"/>
      <c r="R247" s="91"/>
      <c r="S247" s="91"/>
      <c r="T247" s="91"/>
      <c r="U247" s="91"/>
      <c r="V247" s="91"/>
      <c r="W247" s="91"/>
      <c r="X247" s="91"/>
      <c r="Y247" s="91"/>
      <c r="Z247" s="91"/>
    </row>
    <row r="248" ht="24.0" customHeight="1">
      <c r="B248" s="90"/>
      <c r="C248" s="90"/>
      <c r="D248" s="90"/>
      <c r="E248" s="90"/>
      <c r="F248" s="90"/>
      <c r="G248" s="90"/>
      <c r="H248" s="90"/>
      <c r="I248" s="90"/>
      <c r="J248" s="90"/>
      <c r="K248" s="90"/>
      <c r="L248" s="90"/>
      <c r="M248" s="91"/>
      <c r="N248" s="91"/>
      <c r="O248" s="91"/>
      <c r="P248" s="91"/>
      <c r="Q248" s="91"/>
      <c r="R248" s="91"/>
      <c r="S248" s="91"/>
      <c r="T248" s="91"/>
      <c r="U248" s="91"/>
      <c r="V248" s="91"/>
      <c r="W248" s="91"/>
      <c r="X248" s="91"/>
      <c r="Y248" s="91"/>
      <c r="Z248" s="91"/>
    </row>
    <row r="249" ht="24.0" customHeight="1">
      <c r="B249" s="90"/>
      <c r="C249" s="90"/>
      <c r="D249" s="90"/>
      <c r="E249" s="90"/>
      <c r="F249" s="90"/>
      <c r="G249" s="90"/>
      <c r="H249" s="90"/>
      <c r="I249" s="90"/>
      <c r="J249" s="90"/>
      <c r="K249" s="90"/>
      <c r="L249" s="90"/>
      <c r="M249" s="91"/>
      <c r="N249" s="91"/>
      <c r="O249" s="91"/>
      <c r="P249" s="91"/>
      <c r="Q249" s="91"/>
      <c r="R249" s="91"/>
      <c r="S249" s="91"/>
      <c r="T249" s="91"/>
      <c r="U249" s="91"/>
      <c r="V249" s="91"/>
      <c r="W249" s="91"/>
      <c r="X249" s="91"/>
      <c r="Y249" s="91"/>
      <c r="Z249" s="91"/>
    </row>
    <row r="250" ht="24.0" customHeight="1">
      <c r="B250" s="90"/>
      <c r="C250" s="90"/>
      <c r="D250" s="90"/>
      <c r="E250" s="90"/>
      <c r="F250" s="90"/>
      <c r="G250" s="90"/>
      <c r="H250" s="90"/>
      <c r="I250" s="90"/>
      <c r="J250" s="90"/>
      <c r="K250" s="90"/>
      <c r="L250" s="90"/>
      <c r="M250" s="91"/>
      <c r="N250" s="91"/>
      <c r="O250" s="91"/>
      <c r="P250" s="91"/>
      <c r="Q250" s="91"/>
      <c r="R250" s="91"/>
      <c r="S250" s="91"/>
      <c r="T250" s="91"/>
      <c r="U250" s="91"/>
      <c r="V250" s="91"/>
      <c r="W250" s="91"/>
      <c r="X250" s="91"/>
      <c r="Y250" s="91"/>
      <c r="Z250" s="91"/>
    </row>
    <row r="251" ht="24.0" customHeight="1">
      <c r="B251" s="90"/>
      <c r="C251" s="90"/>
      <c r="D251" s="90"/>
      <c r="E251" s="90"/>
      <c r="F251" s="90"/>
      <c r="G251" s="90"/>
      <c r="H251" s="90"/>
      <c r="I251" s="90"/>
      <c r="J251" s="90"/>
      <c r="K251" s="90"/>
      <c r="L251" s="90"/>
      <c r="M251" s="91"/>
      <c r="N251" s="91"/>
      <c r="O251" s="91"/>
      <c r="P251" s="91"/>
      <c r="Q251" s="91"/>
      <c r="R251" s="91"/>
      <c r="S251" s="91"/>
      <c r="T251" s="91"/>
      <c r="U251" s="91"/>
      <c r="V251" s="91"/>
      <c r="W251" s="91"/>
      <c r="X251" s="91"/>
      <c r="Y251" s="91"/>
      <c r="Z251" s="91"/>
    </row>
    <row r="252" ht="24.0" customHeight="1">
      <c r="B252" s="90"/>
      <c r="C252" s="90"/>
      <c r="D252" s="90"/>
      <c r="E252" s="90"/>
      <c r="F252" s="90"/>
      <c r="G252" s="90"/>
      <c r="H252" s="90"/>
      <c r="I252" s="90"/>
      <c r="J252" s="90"/>
      <c r="K252" s="90"/>
      <c r="L252" s="90"/>
      <c r="M252" s="91"/>
      <c r="N252" s="91"/>
      <c r="O252" s="91"/>
      <c r="P252" s="91"/>
      <c r="Q252" s="91"/>
      <c r="R252" s="91"/>
      <c r="S252" s="91"/>
      <c r="T252" s="91"/>
      <c r="U252" s="91"/>
      <c r="V252" s="91"/>
      <c r="W252" s="91"/>
      <c r="X252" s="91"/>
      <c r="Y252" s="91"/>
      <c r="Z252" s="91"/>
    </row>
    <row r="253" ht="24.0" customHeight="1">
      <c r="B253" s="90"/>
      <c r="C253" s="90"/>
      <c r="D253" s="90"/>
      <c r="E253" s="90"/>
      <c r="F253" s="90"/>
      <c r="G253" s="90"/>
      <c r="H253" s="90"/>
      <c r="I253" s="90"/>
      <c r="J253" s="90"/>
      <c r="K253" s="90"/>
      <c r="L253" s="90"/>
      <c r="M253" s="91"/>
      <c r="N253" s="91"/>
      <c r="O253" s="91"/>
      <c r="P253" s="91"/>
      <c r="Q253" s="91"/>
      <c r="R253" s="91"/>
      <c r="S253" s="91"/>
      <c r="T253" s="91"/>
      <c r="U253" s="91"/>
      <c r="V253" s="91"/>
      <c r="W253" s="91"/>
      <c r="X253" s="91"/>
      <c r="Y253" s="91"/>
      <c r="Z253" s="91"/>
    </row>
    <row r="254" ht="24.0" customHeight="1">
      <c r="B254" s="90"/>
      <c r="C254" s="90"/>
      <c r="D254" s="90"/>
      <c r="E254" s="90"/>
      <c r="F254" s="90"/>
      <c r="G254" s="90"/>
      <c r="H254" s="90"/>
      <c r="I254" s="90"/>
      <c r="J254" s="90"/>
      <c r="K254" s="90"/>
      <c r="L254" s="90"/>
      <c r="M254" s="91"/>
      <c r="N254" s="91"/>
      <c r="O254" s="91"/>
      <c r="P254" s="91"/>
      <c r="Q254" s="91"/>
      <c r="R254" s="91"/>
      <c r="S254" s="91"/>
      <c r="T254" s="91"/>
      <c r="U254" s="91"/>
      <c r="V254" s="91"/>
      <c r="W254" s="91"/>
      <c r="X254" s="91"/>
      <c r="Y254" s="91"/>
      <c r="Z254" s="91"/>
    </row>
    <row r="255" ht="24.0" customHeight="1">
      <c r="B255" s="90"/>
      <c r="C255" s="90"/>
      <c r="D255" s="90"/>
      <c r="E255" s="90"/>
      <c r="F255" s="90"/>
      <c r="G255" s="90"/>
      <c r="H255" s="90"/>
      <c r="I255" s="90"/>
      <c r="J255" s="90"/>
      <c r="K255" s="90"/>
      <c r="L255" s="90"/>
      <c r="M255" s="91"/>
      <c r="N255" s="91"/>
      <c r="O255" s="91"/>
      <c r="P255" s="91"/>
      <c r="Q255" s="91"/>
      <c r="R255" s="91"/>
      <c r="S255" s="91"/>
      <c r="T255" s="91"/>
      <c r="U255" s="91"/>
      <c r="V255" s="91"/>
      <c r="W255" s="91"/>
      <c r="X255" s="91"/>
      <c r="Y255" s="91"/>
      <c r="Z255" s="91"/>
    </row>
    <row r="256" ht="24.0" customHeight="1">
      <c r="B256" s="90"/>
      <c r="C256" s="90"/>
      <c r="D256" s="90"/>
      <c r="E256" s="90"/>
      <c r="F256" s="90"/>
      <c r="G256" s="90"/>
      <c r="H256" s="90"/>
      <c r="I256" s="90"/>
      <c r="J256" s="90"/>
      <c r="K256" s="90"/>
      <c r="L256" s="90"/>
      <c r="M256" s="91"/>
      <c r="N256" s="91"/>
      <c r="O256" s="91"/>
      <c r="P256" s="91"/>
      <c r="Q256" s="91"/>
      <c r="R256" s="91"/>
      <c r="S256" s="91"/>
      <c r="T256" s="91"/>
      <c r="U256" s="91"/>
      <c r="V256" s="91"/>
      <c r="W256" s="91"/>
      <c r="X256" s="91"/>
      <c r="Y256" s="91"/>
      <c r="Z256" s="91"/>
    </row>
    <row r="257" ht="24.0" customHeight="1">
      <c r="B257" s="90"/>
      <c r="C257" s="90"/>
      <c r="D257" s="90"/>
      <c r="E257" s="90"/>
      <c r="F257" s="90"/>
      <c r="G257" s="90"/>
      <c r="H257" s="90"/>
      <c r="I257" s="90"/>
      <c r="J257" s="90"/>
      <c r="K257" s="90"/>
      <c r="L257" s="90"/>
      <c r="M257" s="91"/>
      <c r="N257" s="91"/>
      <c r="O257" s="91"/>
      <c r="P257" s="91"/>
      <c r="Q257" s="91"/>
      <c r="R257" s="91"/>
      <c r="S257" s="91"/>
      <c r="T257" s="91"/>
      <c r="U257" s="91"/>
      <c r="V257" s="91"/>
      <c r="W257" s="91"/>
      <c r="X257" s="91"/>
      <c r="Y257" s="91"/>
      <c r="Z257" s="91"/>
    </row>
    <row r="258" ht="24.0" customHeight="1">
      <c r="B258" s="90"/>
      <c r="C258" s="90"/>
      <c r="D258" s="90"/>
      <c r="E258" s="90"/>
      <c r="F258" s="90"/>
      <c r="G258" s="90"/>
      <c r="H258" s="90"/>
      <c r="I258" s="90"/>
      <c r="J258" s="90"/>
      <c r="K258" s="90"/>
      <c r="L258" s="90"/>
      <c r="M258" s="91"/>
      <c r="N258" s="91"/>
      <c r="O258" s="91"/>
      <c r="P258" s="91"/>
      <c r="Q258" s="91"/>
      <c r="R258" s="91"/>
      <c r="S258" s="91"/>
      <c r="T258" s="91"/>
      <c r="U258" s="91"/>
      <c r="V258" s="91"/>
      <c r="W258" s="91"/>
      <c r="X258" s="91"/>
      <c r="Y258" s="91"/>
      <c r="Z258" s="91"/>
    </row>
    <row r="259" ht="24.0" customHeight="1">
      <c r="B259" s="90"/>
      <c r="C259" s="90"/>
      <c r="D259" s="90"/>
      <c r="E259" s="90"/>
      <c r="F259" s="90"/>
      <c r="G259" s="90"/>
      <c r="H259" s="90"/>
      <c r="I259" s="90"/>
      <c r="J259" s="90"/>
      <c r="K259" s="90"/>
      <c r="L259" s="90"/>
      <c r="M259" s="91"/>
      <c r="N259" s="91"/>
      <c r="O259" s="91"/>
      <c r="P259" s="91"/>
      <c r="Q259" s="91"/>
      <c r="R259" s="91"/>
      <c r="S259" s="91"/>
      <c r="T259" s="91"/>
      <c r="U259" s="91"/>
      <c r="V259" s="91"/>
      <c r="W259" s="91"/>
      <c r="X259" s="91"/>
      <c r="Y259" s="91"/>
      <c r="Z259" s="91"/>
    </row>
    <row r="260" ht="24.0" customHeight="1">
      <c r="B260" s="90"/>
      <c r="C260" s="90"/>
      <c r="D260" s="90"/>
      <c r="E260" s="90"/>
      <c r="F260" s="90"/>
      <c r="G260" s="90"/>
      <c r="H260" s="90"/>
      <c r="I260" s="90"/>
      <c r="J260" s="90"/>
      <c r="K260" s="90"/>
      <c r="L260" s="90"/>
      <c r="M260" s="91"/>
      <c r="N260" s="91"/>
      <c r="O260" s="91"/>
      <c r="P260" s="91"/>
      <c r="Q260" s="91"/>
      <c r="R260" s="91"/>
      <c r="S260" s="91"/>
      <c r="T260" s="91"/>
      <c r="U260" s="91"/>
      <c r="V260" s="91"/>
      <c r="W260" s="91"/>
      <c r="X260" s="91"/>
      <c r="Y260" s="91"/>
      <c r="Z260" s="91"/>
    </row>
    <row r="261" ht="24.0" customHeight="1">
      <c r="B261" s="90"/>
      <c r="C261" s="90"/>
      <c r="D261" s="90"/>
      <c r="E261" s="90"/>
      <c r="F261" s="90"/>
      <c r="G261" s="90"/>
      <c r="H261" s="90"/>
      <c r="I261" s="90"/>
      <c r="J261" s="90"/>
      <c r="K261" s="90"/>
      <c r="L261" s="90"/>
      <c r="M261" s="91"/>
      <c r="N261" s="91"/>
      <c r="O261" s="91"/>
      <c r="P261" s="91"/>
      <c r="Q261" s="91"/>
      <c r="R261" s="91"/>
      <c r="S261" s="91"/>
      <c r="T261" s="91"/>
      <c r="U261" s="91"/>
      <c r="V261" s="91"/>
      <c r="W261" s="91"/>
      <c r="X261" s="91"/>
      <c r="Y261" s="91"/>
      <c r="Z261" s="91"/>
    </row>
    <row r="262" ht="24.0" customHeight="1">
      <c r="B262" s="90"/>
      <c r="C262" s="90"/>
      <c r="D262" s="90"/>
      <c r="E262" s="90"/>
      <c r="F262" s="90"/>
      <c r="G262" s="90"/>
      <c r="H262" s="90"/>
      <c r="I262" s="90"/>
      <c r="J262" s="90"/>
      <c r="K262" s="90"/>
      <c r="L262" s="90"/>
      <c r="M262" s="91"/>
      <c r="N262" s="91"/>
      <c r="O262" s="91"/>
      <c r="P262" s="91"/>
      <c r="Q262" s="91"/>
      <c r="R262" s="91"/>
      <c r="S262" s="91"/>
      <c r="T262" s="91"/>
      <c r="U262" s="91"/>
      <c r="V262" s="91"/>
      <c r="W262" s="91"/>
      <c r="X262" s="91"/>
      <c r="Y262" s="91"/>
      <c r="Z262" s="91"/>
    </row>
    <row r="263" ht="24.0" customHeight="1">
      <c r="B263" s="90"/>
      <c r="C263" s="90"/>
      <c r="D263" s="90"/>
      <c r="E263" s="90"/>
      <c r="F263" s="90"/>
      <c r="G263" s="90"/>
      <c r="H263" s="90"/>
      <c r="I263" s="90"/>
      <c r="J263" s="90"/>
      <c r="K263" s="90"/>
      <c r="L263" s="90"/>
      <c r="M263" s="91"/>
      <c r="N263" s="91"/>
      <c r="O263" s="91"/>
      <c r="P263" s="91"/>
      <c r="Q263" s="91"/>
      <c r="R263" s="91"/>
      <c r="S263" s="91"/>
      <c r="T263" s="91"/>
      <c r="U263" s="91"/>
      <c r="V263" s="91"/>
      <c r="W263" s="91"/>
      <c r="X263" s="91"/>
      <c r="Y263" s="91"/>
      <c r="Z263" s="91"/>
    </row>
    <row r="264" ht="24.0" customHeight="1">
      <c r="B264" s="90"/>
      <c r="C264" s="90"/>
      <c r="D264" s="90"/>
      <c r="E264" s="90"/>
      <c r="F264" s="90"/>
      <c r="G264" s="90"/>
      <c r="H264" s="90"/>
      <c r="I264" s="90"/>
      <c r="J264" s="90"/>
      <c r="K264" s="90"/>
      <c r="L264" s="90"/>
      <c r="M264" s="91"/>
      <c r="N264" s="91"/>
      <c r="O264" s="91"/>
      <c r="P264" s="91"/>
      <c r="Q264" s="91"/>
      <c r="R264" s="91"/>
      <c r="S264" s="91"/>
      <c r="T264" s="91"/>
      <c r="U264" s="91"/>
      <c r="V264" s="91"/>
      <c r="W264" s="91"/>
      <c r="X264" s="91"/>
      <c r="Y264" s="91"/>
      <c r="Z264" s="91"/>
    </row>
    <row r="265" ht="24.0" customHeight="1">
      <c r="B265" s="90"/>
      <c r="C265" s="90"/>
      <c r="D265" s="90"/>
      <c r="E265" s="90"/>
      <c r="F265" s="90"/>
      <c r="G265" s="90"/>
      <c r="H265" s="90"/>
      <c r="I265" s="90"/>
      <c r="J265" s="90"/>
      <c r="K265" s="90"/>
      <c r="L265" s="90"/>
      <c r="M265" s="91"/>
      <c r="N265" s="91"/>
      <c r="O265" s="91"/>
      <c r="P265" s="91"/>
      <c r="Q265" s="91"/>
      <c r="R265" s="91"/>
      <c r="S265" s="91"/>
      <c r="T265" s="91"/>
      <c r="U265" s="91"/>
      <c r="V265" s="91"/>
      <c r="W265" s="91"/>
      <c r="X265" s="91"/>
      <c r="Y265" s="91"/>
      <c r="Z265" s="91"/>
    </row>
    <row r="266" ht="24.0" customHeight="1">
      <c r="B266" s="90"/>
      <c r="C266" s="90"/>
      <c r="D266" s="90"/>
      <c r="E266" s="90"/>
      <c r="F266" s="90"/>
      <c r="G266" s="90"/>
      <c r="H266" s="90"/>
      <c r="I266" s="90"/>
      <c r="J266" s="90"/>
      <c r="K266" s="90"/>
      <c r="L266" s="90"/>
      <c r="M266" s="91"/>
      <c r="N266" s="91"/>
      <c r="O266" s="91"/>
      <c r="P266" s="91"/>
      <c r="Q266" s="91"/>
      <c r="R266" s="91"/>
      <c r="S266" s="91"/>
      <c r="T266" s="91"/>
      <c r="U266" s="91"/>
      <c r="V266" s="91"/>
      <c r="W266" s="91"/>
      <c r="X266" s="91"/>
      <c r="Y266" s="91"/>
      <c r="Z266" s="91"/>
    </row>
    <row r="267" ht="24.0" customHeight="1">
      <c r="B267" s="90"/>
      <c r="C267" s="90"/>
      <c r="D267" s="90"/>
      <c r="E267" s="90"/>
      <c r="F267" s="90"/>
      <c r="G267" s="90"/>
      <c r="H267" s="90"/>
      <c r="I267" s="90"/>
      <c r="J267" s="90"/>
      <c r="K267" s="90"/>
      <c r="L267" s="90"/>
      <c r="M267" s="91"/>
      <c r="N267" s="91"/>
      <c r="O267" s="91"/>
      <c r="P267" s="91"/>
      <c r="Q267" s="91"/>
      <c r="R267" s="91"/>
      <c r="S267" s="91"/>
      <c r="T267" s="91"/>
      <c r="U267" s="91"/>
      <c r="V267" s="91"/>
      <c r="W267" s="91"/>
      <c r="X267" s="91"/>
      <c r="Y267" s="91"/>
      <c r="Z267" s="91"/>
    </row>
    <row r="268" ht="24.0" customHeight="1">
      <c r="B268" s="90"/>
      <c r="C268" s="90"/>
      <c r="D268" s="90"/>
      <c r="E268" s="90"/>
      <c r="F268" s="90"/>
      <c r="G268" s="90"/>
      <c r="H268" s="90"/>
      <c r="I268" s="90"/>
      <c r="J268" s="90"/>
      <c r="K268" s="90"/>
      <c r="L268" s="90"/>
      <c r="M268" s="91"/>
      <c r="N268" s="91"/>
      <c r="O268" s="91"/>
      <c r="P268" s="91"/>
      <c r="Q268" s="91"/>
      <c r="R268" s="91"/>
      <c r="S268" s="91"/>
      <c r="T268" s="91"/>
      <c r="U268" s="91"/>
      <c r="V268" s="91"/>
      <c r="W268" s="91"/>
      <c r="X268" s="91"/>
      <c r="Y268" s="91"/>
      <c r="Z268" s="91"/>
    </row>
    <row r="269" ht="24.0" customHeight="1">
      <c r="B269" s="90"/>
      <c r="C269" s="90"/>
      <c r="D269" s="90"/>
      <c r="E269" s="90"/>
      <c r="F269" s="90"/>
      <c r="G269" s="90"/>
      <c r="H269" s="90"/>
      <c r="I269" s="90"/>
      <c r="J269" s="90"/>
      <c r="K269" s="90"/>
      <c r="L269" s="90"/>
      <c r="M269" s="91"/>
      <c r="N269" s="91"/>
      <c r="O269" s="91"/>
      <c r="P269" s="91"/>
      <c r="Q269" s="91"/>
      <c r="R269" s="91"/>
      <c r="S269" s="91"/>
      <c r="T269" s="91"/>
      <c r="U269" s="91"/>
      <c r="V269" s="91"/>
      <c r="W269" s="91"/>
      <c r="X269" s="91"/>
      <c r="Y269" s="91"/>
      <c r="Z269" s="91"/>
    </row>
    <row r="270" ht="24.0" customHeight="1">
      <c r="B270" s="90"/>
      <c r="C270" s="90"/>
      <c r="D270" s="90"/>
      <c r="E270" s="90"/>
      <c r="F270" s="90"/>
      <c r="G270" s="90"/>
      <c r="H270" s="90"/>
      <c r="I270" s="90"/>
      <c r="J270" s="90"/>
      <c r="K270" s="90"/>
      <c r="L270" s="90"/>
      <c r="M270" s="91"/>
      <c r="N270" s="91"/>
      <c r="O270" s="91"/>
      <c r="P270" s="91"/>
      <c r="Q270" s="91"/>
      <c r="R270" s="91"/>
      <c r="S270" s="91"/>
      <c r="T270" s="91"/>
      <c r="U270" s="91"/>
      <c r="V270" s="91"/>
      <c r="W270" s="91"/>
      <c r="X270" s="91"/>
      <c r="Y270" s="91"/>
      <c r="Z270" s="91"/>
    </row>
    <row r="271" ht="24.0" customHeight="1">
      <c r="B271" s="90"/>
      <c r="C271" s="90"/>
      <c r="D271" s="90"/>
      <c r="E271" s="90"/>
      <c r="F271" s="90"/>
      <c r="G271" s="90"/>
      <c r="H271" s="90"/>
      <c r="I271" s="90"/>
      <c r="J271" s="90"/>
      <c r="K271" s="90"/>
      <c r="L271" s="90"/>
      <c r="M271" s="91"/>
      <c r="N271" s="91"/>
      <c r="O271" s="91"/>
      <c r="P271" s="91"/>
      <c r="Q271" s="91"/>
      <c r="R271" s="91"/>
      <c r="S271" s="91"/>
      <c r="T271" s="91"/>
      <c r="U271" s="91"/>
      <c r="V271" s="91"/>
      <c r="W271" s="91"/>
      <c r="X271" s="91"/>
      <c r="Y271" s="91"/>
      <c r="Z271" s="91"/>
    </row>
    <row r="272" ht="24.0" customHeight="1">
      <c r="B272" s="90"/>
      <c r="C272" s="90"/>
      <c r="D272" s="90"/>
      <c r="E272" s="90"/>
      <c r="F272" s="90"/>
      <c r="G272" s="90"/>
      <c r="H272" s="90"/>
      <c r="I272" s="90"/>
      <c r="J272" s="90"/>
      <c r="K272" s="90"/>
      <c r="L272" s="90"/>
      <c r="M272" s="91"/>
      <c r="N272" s="91"/>
      <c r="O272" s="91"/>
      <c r="P272" s="91"/>
      <c r="Q272" s="91"/>
      <c r="R272" s="91"/>
      <c r="S272" s="91"/>
      <c r="T272" s="91"/>
      <c r="U272" s="91"/>
      <c r="V272" s="91"/>
      <c r="W272" s="91"/>
      <c r="X272" s="91"/>
      <c r="Y272" s="91"/>
      <c r="Z272" s="91"/>
    </row>
    <row r="273" ht="24.0" customHeight="1">
      <c r="B273" s="90"/>
      <c r="C273" s="90"/>
      <c r="D273" s="90"/>
      <c r="E273" s="90"/>
      <c r="F273" s="90"/>
      <c r="G273" s="90"/>
      <c r="H273" s="90"/>
      <c r="I273" s="90"/>
      <c r="J273" s="90"/>
      <c r="K273" s="90"/>
      <c r="L273" s="90"/>
      <c r="M273" s="91"/>
      <c r="N273" s="91"/>
      <c r="O273" s="91"/>
      <c r="P273" s="91"/>
      <c r="Q273" s="91"/>
      <c r="R273" s="91"/>
      <c r="S273" s="91"/>
      <c r="T273" s="91"/>
      <c r="U273" s="91"/>
      <c r="V273" s="91"/>
      <c r="W273" s="91"/>
      <c r="X273" s="91"/>
      <c r="Y273" s="91"/>
      <c r="Z273" s="91"/>
    </row>
    <row r="274" ht="24.0" customHeight="1">
      <c r="B274" s="90"/>
      <c r="C274" s="90"/>
      <c r="D274" s="90"/>
      <c r="E274" s="90"/>
      <c r="F274" s="90"/>
      <c r="G274" s="90"/>
      <c r="H274" s="90"/>
      <c r="I274" s="90"/>
      <c r="J274" s="90"/>
      <c r="K274" s="90"/>
      <c r="L274" s="90"/>
      <c r="M274" s="91"/>
      <c r="N274" s="91"/>
      <c r="O274" s="91"/>
      <c r="P274" s="91"/>
      <c r="Q274" s="91"/>
      <c r="R274" s="91"/>
      <c r="S274" s="91"/>
      <c r="T274" s="91"/>
      <c r="U274" s="91"/>
      <c r="V274" s="91"/>
      <c r="W274" s="91"/>
      <c r="X274" s="91"/>
      <c r="Y274" s="91"/>
      <c r="Z274" s="91"/>
    </row>
    <row r="275" ht="24.0" customHeight="1">
      <c r="B275" s="90"/>
      <c r="C275" s="90"/>
      <c r="D275" s="90"/>
      <c r="E275" s="90"/>
      <c r="F275" s="90"/>
      <c r="G275" s="90"/>
      <c r="H275" s="90"/>
      <c r="I275" s="90"/>
      <c r="J275" s="90"/>
      <c r="K275" s="90"/>
      <c r="L275" s="90"/>
      <c r="M275" s="91"/>
      <c r="N275" s="91"/>
      <c r="O275" s="91"/>
      <c r="P275" s="91"/>
      <c r="Q275" s="91"/>
      <c r="R275" s="91"/>
      <c r="S275" s="91"/>
      <c r="T275" s="91"/>
      <c r="U275" s="91"/>
      <c r="V275" s="91"/>
      <c r="W275" s="91"/>
      <c r="X275" s="91"/>
      <c r="Y275" s="91"/>
      <c r="Z275" s="91"/>
    </row>
    <row r="276" ht="24.0" customHeight="1">
      <c r="B276" s="90"/>
      <c r="C276" s="90"/>
      <c r="D276" s="90"/>
      <c r="E276" s="90"/>
      <c r="F276" s="90"/>
      <c r="G276" s="90"/>
      <c r="H276" s="90"/>
      <c r="I276" s="90"/>
      <c r="J276" s="90"/>
      <c r="K276" s="90"/>
      <c r="L276" s="90"/>
      <c r="M276" s="91"/>
      <c r="N276" s="91"/>
      <c r="O276" s="91"/>
      <c r="P276" s="91"/>
      <c r="Q276" s="91"/>
      <c r="R276" s="91"/>
      <c r="S276" s="91"/>
      <c r="T276" s="91"/>
      <c r="U276" s="91"/>
      <c r="V276" s="91"/>
      <c r="W276" s="91"/>
      <c r="X276" s="91"/>
      <c r="Y276" s="91"/>
      <c r="Z276" s="91"/>
    </row>
    <row r="277" ht="24.0" customHeight="1">
      <c r="B277" s="90"/>
      <c r="C277" s="90"/>
      <c r="D277" s="90"/>
      <c r="E277" s="90"/>
      <c r="F277" s="90"/>
      <c r="G277" s="90"/>
      <c r="H277" s="90"/>
      <c r="I277" s="90"/>
      <c r="J277" s="90"/>
      <c r="K277" s="90"/>
      <c r="L277" s="90"/>
      <c r="M277" s="91"/>
      <c r="N277" s="91"/>
      <c r="O277" s="91"/>
      <c r="P277" s="91"/>
      <c r="Q277" s="91"/>
      <c r="R277" s="91"/>
      <c r="S277" s="91"/>
      <c r="T277" s="91"/>
      <c r="U277" s="91"/>
      <c r="V277" s="91"/>
      <c r="W277" s="91"/>
      <c r="X277" s="91"/>
      <c r="Y277" s="91"/>
      <c r="Z277" s="91"/>
    </row>
    <row r="278" ht="24.0" customHeight="1">
      <c r="B278" s="90"/>
      <c r="C278" s="90"/>
      <c r="D278" s="90"/>
      <c r="E278" s="90"/>
      <c r="F278" s="90"/>
      <c r="G278" s="90"/>
      <c r="H278" s="90"/>
      <c r="I278" s="90"/>
      <c r="J278" s="90"/>
      <c r="K278" s="90"/>
      <c r="L278" s="90"/>
      <c r="M278" s="91"/>
      <c r="N278" s="91"/>
      <c r="O278" s="91"/>
      <c r="P278" s="91"/>
      <c r="Q278" s="91"/>
      <c r="R278" s="91"/>
      <c r="S278" s="91"/>
      <c r="T278" s="91"/>
      <c r="U278" s="91"/>
      <c r="V278" s="91"/>
      <c r="W278" s="91"/>
      <c r="X278" s="91"/>
      <c r="Y278" s="91"/>
      <c r="Z278" s="91"/>
    </row>
    <row r="279" ht="24.0" customHeight="1">
      <c r="B279" s="90"/>
      <c r="C279" s="90"/>
      <c r="D279" s="90"/>
      <c r="E279" s="90"/>
      <c r="F279" s="90"/>
      <c r="G279" s="90"/>
      <c r="H279" s="90"/>
      <c r="I279" s="90"/>
      <c r="J279" s="90"/>
      <c r="K279" s="90"/>
      <c r="L279" s="90"/>
      <c r="M279" s="91"/>
      <c r="N279" s="91"/>
      <c r="O279" s="91"/>
      <c r="P279" s="91"/>
      <c r="Q279" s="91"/>
      <c r="R279" s="91"/>
      <c r="S279" s="91"/>
      <c r="T279" s="91"/>
      <c r="U279" s="91"/>
      <c r="V279" s="91"/>
      <c r="W279" s="91"/>
      <c r="X279" s="91"/>
      <c r="Y279" s="91"/>
      <c r="Z279" s="91"/>
    </row>
    <row r="280" ht="24.0" customHeight="1">
      <c r="B280" s="90"/>
      <c r="C280" s="90"/>
      <c r="D280" s="90"/>
      <c r="E280" s="90"/>
      <c r="F280" s="90"/>
      <c r="G280" s="90"/>
      <c r="H280" s="90"/>
      <c r="I280" s="90"/>
      <c r="J280" s="90"/>
      <c r="K280" s="90"/>
      <c r="L280" s="90"/>
      <c r="M280" s="91"/>
      <c r="N280" s="91"/>
      <c r="O280" s="91"/>
      <c r="P280" s="91"/>
      <c r="Q280" s="91"/>
      <c r="R280" s="91"/>
      <c r="S280" s="91"/>
      <c r="T280" s="91"/>
      <c r="U280" s="91"/>
      <c r="V280" s="91"/>
      <c r="W280" s="91"/>
      <c r="X280" s="91"/>
      <c r="Y280" s="91"/>
      <c r="Z280" s="91"/>
    </row>
    <row r="281" ht="24.0" customHeight="1">
      <c r="B281" s="90"/>
      <c r="C281" s="90"/>
      <c r="D281" s="90"/>
      <c r="E281" s="90"/>
      <c r="F281" s="90"/>
      <c r="G281" s="90"/>
      <c r="H281" s="90"/>
      <c r="I281" s="90"/>
      <c r="J281" s="90"/>
      <c r="K281" s="90"/>
      <c r="L281" s="90"/>
      <c r="M281" s="91"/>
      <c r="N281" s="91"/>
      <c r="O281" s="91"/>
      <c r="P281" s="91"/>
      <c r="Q281" s="91"/>
      <c r="R281" s="91"/>
      <c r="S281" s="91"/>
      <c r="T281" s="91"/>
      <c r="U281" s="91"/>
      <c r="V281" s="91"/>
      <c r="W281" s="91"/>
      <c r="X281" s="91"/>
      <c r="Y281" s="91"/>
      <c r="Z281" s="91"/>
    </row>
    <row r="282" ht="24.0" customHeight="1">
      <c r="B282" s="90"/>
      <c r="C282" s="90"/>
      <c r="D282" s="90"/>
      <c r="E282" s="90"/>
      <c r="F282" s="90"/>
      <c r="G282" s="90"/>
      <c r="H282" s="90"/>
      <c r="I282" s="90"/>
      <c r="J282" s="90"/>
      <c r="K282" s="90"/>
      <c r="L282" s="90"/>
      <c r="M282" s="91"/>
      <c r="N282" s="91"/>
      <c r="O282" s="91"/>
      <c r="P282" s="91"/>
      <c r="Q282" s="91"/>
      <c r="R282" s="91"/>
      <c r="S282" s="91"/>
      <c r="T282" s="91"/>
      <c r="U282" s="91"/>
      <c r="V282" s="91"/>
      <c r="W282" s="91"/>
      <c r="X282" s="91"/>
      <c r="Y282" s="91"/>
      <c r="Z282" s="91"/>
    </row>
    <row r="283" ht="24.0" customHeight="1">
      <c r="B283" s="90"/>
      <c r="C283" s="90"/>
      <c r="D283" s="90"/>
      <c r="E283" s="90"/>
      <c r="F283" s="90"/>
      <c r="G283" s="90"/>
      <c r="H283" s="90"/>
      <c r="I283" s="90"/>
      <c r="J283" s="90"/>
      <c r="K283" s="90"/>
      <c r="L283" s="90"/>
      <c r="M283" s="91"/>
      <c r="N283" s="91"/>
      <c r="O283" s="91"/>
      <c r="P283" s="91"/>
      <c r="Q283" s="91"/>
      <c r="R283" s="91"/>
      <c r="S283" s="91"/>
      <c r="T283" s="91"/>
      <c r="U283" s="91"/>
      <c r="V283" s="91"/>
      <c r="W283" s="91"/>
      <c r="X283" s="91"/>
      <c r="Y283" s="91"/>
      <c r="Z283" s="91"/>
    </row>
    <row r="284" ht="24.0" customHeight="1">
      <c r="B284" s="90"/>
      <c r="C284" s="90"/>
      <c r="D284" s="90"/>
      <c r="E284" s="90"/>
      <c r="F284" s="90"/>
      <c r="G284" s="90"/>
      <c r="H284" s="90"/>
      <c r="I284" s="90"/>
      <c r="J284" s="90"/>
      <c r="K284" s="90"/>
      <c r="L284" s="90"/>
      <c r="M284" s="91"/>
      <c r="N284" s="91"/>
      <c r="O284" s="91"/>
      <c r="P284" s="91"/>
      <c r="Q284" s="91"/>
      <c r="R284" s="91"/>
      <c r="S284" s="91"/>
      <c r="T284" s="91"/>
      <c r="U284" s="91"/>
      <c r="V284" s="91"/>
      <c r="W284" s="91"/>
      <c r="X284" s="91"/>
      <c r="Y284" s="91"/>
      <c r="Z284" s="91"/>
    </row>
    <row r="285" ht="24.0" customHeight="1">
      <c r="B285" s="90"/>
      <c r="C285" s="90"/>
      <c r="D285" s="90"/>
      <c r="E285" s="90"/>
      <c r="F285" s="90"/>
      <c r="G285" s="90"/>
      <c r="H285" s="90"/>
      <c r="I285" s="90"/>
      <c r="J285" s="90"/>
      <c r="K285" s="90"/>
      <c r="L285" s="90"/>
      <c r="M285" s="91"/>
      <c r="N285" s="91"/>
      <c r="O285" s="91"/>
      <c r="P285" s="91"/>
      <c r="Q285" s="91"/>
      <c r="R285" s="91"/>
      <c r="S285" s="91"/>
      <c r="T285" s="91"/>
      <c r="U285" s="91"/>
      <c r="V285" s="91"/>
      <c r="W285" s="91"/>
      <c r="X285" s="91"/>
      <c r="Y285" s="91"/>
      <c r="Z285" s="91"/>
    </row>
    <row r="286" ht="24.0" customHeight="1">
      <c r="B286" s="90"/>
      <c r="C286" s="90"/>
      <c r="D286" s="90"/>
      <c r="E286" s="90"/>
      <c r="F286" s="90"/>
      <c r="G286" s="90"/>
      <c r="H286" s="90"/>
      <c r="I286" s="90"/>
      <c r="J286" s="90"/>
      <c r="K286" s="90"/>
      <c r="L286" s="90"/>
      <c r="M286" s="91"/>
      <c r="N286" s="91"/>
      <c r="O286" s="91"/>
      <c r="P286" s="91"/>
      <c r="Q286" s="91"/>
      <c r="R286" s="91"/>
      <c r="S286" s="91"/>
      <c r="T286" s="91"/>
      <c r="U286" s="91"/>
      <c r="V286" s="91"/>
      <c r="W286" s="91"/>
      <c r="X286" s="91"/>
      <c r="Y286" s="91"/>
      <c r="Z286" s="91"/>
    </row>
    <row r="287" ht="24.0" customHeight="1">
      <c r="B287" s="90"/>
      <c r="C287" s="90"/>
      <c r="D287" s="90"/>
      <c r="E287" s="90"/>
      <c r="F287" s="90"/>
      <c r="G287" s="90"/>
      <c r="H287" s="90"/>
      <c r="I287" s="90"/>
      <c r="J287" s="90"/>
      <c r="K287" s="90"/>
      <c r="L287" s="90"/>
      <c r="M287" s="91"/>
      <c r="N287" s="91"/>
      <c r="O287" s="91"/>
      <c r="P287" s="91"/>
      <c r="Q287" s="91"/>
      <c r="R287" s="91"/>
      <c r="S287" s="91"/>
      <c r="T287" s="91"/>
      <c r="U287" s="91"/>
      <c r="V287" s="91"/>
      <c r="W287" s="91"/>
      <c r="X287" s="91"/>
      <c r="Y287" s="91"/>
      <c r="Z287" s="91"/>
    </row>
    <row r="288" ht="24.0" customHeight="1">
      <c r="B288" s="90"/>
      <c r="C288" s="90"/>
      <c r="D288" s="90"/>
      <c r="E288" s="90"/>
      <c r="F288" s="90"/>
      <c r="G288" s="90"/>
      <c r="H288" s="90"/>
      <c r="I288" s="90"/>
      <c r="J288" s="90"/>
      <c r="K288" s="90"/>
      <c r="L288" s="90"/>
      <c r="M288" s="91"/>
      <c r="N288" s="91"/>
      <c r="O288" s="91"/>
      <c r="P288" s="91"/>
      <c r="Q288" s="91"/>
      <c r="R288" s="91"/>
      <c r="S288" s="91"/>
      <c r="T288" s="91"/>
      <c r="U288" s="91"/>
      <c r="V288" s="91"/>
      <c r="W288" s="91"/>
      <c r="X288" s="91"/>
      <c r="Y288" s="91"/>
      <c r="Z288" s="91"/>
    </row>
    <row r="289" ht="24.0" customHeight="1">
      <c r="B289" s="90"/>
      <c r="C289" s="90"/>
      <c r="D289" s="90"/>
      <c r="E289" s="90"/>
      <c r="F289" s="90"/>
      <c r="G289" s="90"/>
      <c r="H289" s="90"/>
      <c r="I289" s="90"/>
      <c r="J289" s="90"/>
      <c r="K289" s="90"/>
      <c r="L289" s="90"/>
      <c r="M289" s="91"/>
      <c r="N289" s="91"/>
      <c r="O289" s="91"/>
      <c r="P289" s="91"/>
      <c r="Q289" s="91"/>
      <c r="R289" s="91"/>
      <c r="S289" s="91"/>
      <c r="T289" s="91"/>
      <c r="U289" s="91"/>
      <c r="V289" s="91"/>
      <c r="W289" s="91"/>
      <c r="X289" s="91"/>
      <c r="Y289" s="91"/>
      <c r="Z289" s="91"/>
    </row>
    <row r="290" ht="24.0" customHeight="1">
      <c r="B290" s="90"/>
      <c r="C290" s="90"/>
      <c r="D290" s="90"/>
      <c r="E290" s="90"/>
      <c r="F290" s="90"/>
      <c r="G290" s="90"/>
      <c r="H290" s="90"/>
      <c r="I290" s="90"/>
      <c r="J290" s="90"/>
      <c r="K290" s="90"/>
      <c r="L290" s="90"/>
      <c r="M290" s="91"/>
      <c r="N290" s="91"/>
      <c r="O290" s="91"/>
      <c r="P290" s="91"/>
      <c r="Q290" s="91"/>
      <c r="R290" s="91"/>
      <c r="S290" s="91"/>
      <c r="T290" s="91"/>
      <c r="U290" s="91"/>
      <c r="V290" s="91"/>
      <c r="W290" s="91"/>
      <c r="X290" s="91"/>
      <c r="Y290" s="91"/>
      <c r="Z290" s="91"/>
    </row>
    <row r="291" ht="24.0" customHeight="1">
      <c r="B291" s="90"/>
      <c r="C291" s="90"/>
      <c r="D291" s="90"/>
      <c r="E291" s="90"/>
      <c r="F291" s="90"/>
      <c r="G291" s="90"/>
      <c r="H291" s="90"/>
      <c r="I291" s="90"/>
      <c r="J291" s="90"/>
      <c r="K291" s="90"/>
      <c r="L291" s="90"/>
      <c r="M291" s="91"/>
      <c r="N291" s="91"/>
      <c r="O291" s="91"/>
      <c r="P291" s="91"/>
      <c r="Q291" s="91"/>
      <c r="R291" s="91"/>
      <c r="S291" s="91"/>
      <c r="T291" s="91"/>
      <c r="U291" s="91"/>
      <c r="V291" s="91"/>
      <c r="W291" s="91"/>
      <c r="X291" s="91"/>
      <c r="Y291" s="91"/>
      <c r="Z291" s="91"/>
    </row>
    <row r="292" ht="24.0" customHeight="1">
      <c r="B292" s="90"/>
      <c r="C292" s="90"/>
      <c r="D292" s="90"/>
      <c r="E292" s="90"/>
      <c r="F292" s="90"/>
      <c r="G292" s="90"/>
      <c r="H292" s="90"/>
      <c r="I292" s="90"/>
      <c r="J292" s="90"/>
      <c r="K292" s="90"/>
      <c r="L292" s="90"/>
      <c r="M292" s="91"/>
      <c r="N292" s="91"/>
      <c r="O292" s="91"/>
      <c r="P292" s="91"/>
      <c r="Q292" s="91"/>
      <c r="R292" s="91"/>
      <c r="S292" s="91"/>
      <c r="T292" s="91"/>
      <c r="U292" s="91"/>
      <c r="V292" s="91"/>
      <c r="W292" s="91"/>
      <c r="X292" s="91"/>
      <c r="Y292" s="91"/>
      <c r="Z292" s="91"/>
    </row>
    <row r="293" ht="24.0" customHeight="1">
      <c r="B293" s="90"/>
      <c r="C293" s="90"/>
      <c r="D293" s="90"/>
      <c r="E293" s="90"/>
      <c r="F293" s="90"/>
      <c r="G293" s="90"/>
      <c r="H293" s="90"/>
      <c r="I293" s="90"/>
      <c r="J293" s="90"/>
      <c r="K293" s="90"/>
      <c r="L293" s="90"/>
      <c r="M293" s="91"/>
      <c r="N293" s="91"/>
      <c r="O293" s="91"/>
      <c r="P293" s="91"/>
      <c r="Q293" s="91"/>
      <c r="R293" s="91"/>
      <c r="S293" s="91"/>
      <c r="T293" s="91"/>
      <c r="U293" s="91"/>
      <c r="V293" s="91"/>
      <c r="W293" s="91"/>
      <c r="X293" s="91"/>
      <c r="Y293" s="91"/>
      <c r="Z293" s="91"/>
    </row>
    <row r="294" ht="24.0" customHeight="1">
      <c r="B294" s="90"/>
      <c r="C294" s="90"/>
      <c r="D294" s="90"/>
      <c r="E294" s="90"/>
      <c r="F294" s="90"/>
      <c r="G294" s="90"/>
      <c r="H294" s="90"/>
      <c r="I294" s="90"/>
      <c r="J294" s="90"/>
      <c r="K294" s="90"/>
      <c r="L294" s="90"/>
      <c r="M294" s="91"/>
      <c r="N294" s="91"/>
      <c r="O294" s="91"/>
      <c r="P294" s="91"/>
      <c r="Q294" s="91"/>
      <c r="R294" s="91"/>
      <c r="S294" s="91"/>
      <c r="T294" s="91"/>
      <c r="U294" s="91"/>
      <c r="V294" s="91"/>
      <c r="W294" s="91"/>
      <c r="X294" s="91"/>
      <c r="Y294" s="91"/>
      <c r="Z294" s="91"/>
    </row>
    <row r="295" ht="24.0" customHeight="1">
      <c r="B295" s="90"/>
      <c r="C295" s="90"/>
      <c r="D295" s="90"/>
      <c r="E295" s="90"/>
      <c r="F295" s="90"/>
      <c r="G295" s="90"/>
      <c r="H295" s="90"/>
      <c r="I295" s="90"/>
      <c r="J295" s="90"/>
      <c r="K295" s="90"/>
      <c r="L295" s="90"/>
      <c r="M295" s="91"/>
      <c r="N295" s="91"/>
      <c r="O295" s="91"/>
      <c r="P295" s="91"/>
      <c r="Q295" s="91"/>
      <c r="R295" s="91"/>
      <c r="S295" s="91"/>
      <c r="T295" s="91"/>
      <c r="U295" s="91"/>
      <c r="V295" s="91"/>
      <c r="W295" s="91"/>
      <c r="X295" s="91"/>
      <c r="Y295" s="91"/>
      <c r="Z295" s="91"/>
    </row>
    <row r="296" ht="24.0" customHeight="1">
      <c r="B296" s="90"/>
      <c r="C296" s="90"/>
      <c r="D296" s="90"/>
      <c r="E296" s="90"/>
      <c r="F296" s="90"/>
      <c r="G296" s="90"/>
      <c r="H296" s="90"/>
      <c r="I296" s="90"/>
      <c r="J296" s="90"/>
      <c r="K296" s="90"/>
      <c r="L296" s="90"/>
      <c r="M296" s="91"/>
      <c r="N296" s="91"/>
      <c r="O296" s="91"/>
      <c r="P296" s="91"/>
      <c r="Q296" s="91"/>
      <c r="R296" s="91"/>
      <c r="S296" s="91"/>
      <c r="T296" s="91"/>
      <c r="U296" s="91"/>
      <c r="V296" s="91"/>
      <c r="W296" s="91"/>
      <c r="X296" s="91"/>
      <c r="Y296" s="91"/>
      <c r="Z296" s="91"/>
    </row>
    <row r="297" ht="24.0" customHeight="1">
      <c r="B297" s="90"/>
      <c r="C297" s="90"/>
      <c r="D297" s="90"/>
      <c r="E297" s="90"/>
      <c r="F297" s="90"/>
      <c r="G297" s="90"/>
      <c r="H297" s="90"/>
      <c r="I297" s="90"/>
      <c r="J297" s="90"/>
      <c r="K297" s="90"/>
      <c r="L297" s="90"/>
      <c r="M297" s="91"/>
      <c r="N297" s="91"/>
      <c r="O297" s="91"/>
      <c r="P297" s="91"/>
      <c r="Q297" s="91"/>
      <c r="R297" s="91"/>
      <c r="S297" s="91"/>
      <c r="T297" s="91"/>
      <c r="U297" s="91"/>
      <c r="V297" s="91"/>
      <c r="W297" s="91"/>
      <c r="X297" s="91"/>
      <c r="Y297" s="91"/>
      <c r="Z297" s="91"/>
    </row>
    <row r="298" ht="24.0" customHeight="1">
      <c r="B298" s="90"/>
      <c r="C298" s="90"/>
      <c r="D298" s="90"/>
      <c r="E298" s="90"/>
      <c r="F298" s="90"/>
      <c r="G298" s="90"/>
      <c r="H298" s="90"/>
      <c r="I298" s="90"/>
      <c r="J298" s="90"/>
      <c r="K298" s="90"/>
      <c r="L298" s="90"/>
      <c r="M298" s="91"/>
      <c r="N298" s="91"/>
      <c r="O298" s="91"/>
      <c r="P298" s="91"/>
      <c r="Q298" s="91"/>
      <c r="R298" s="91"/>
      <c r="S298" s="91"/>
      <c r="T298" s="91"/>
      <c r="U298" s="91"/>
      <c r="V298" s="91"/>
      <c r="W298" s="91"/>
      <c r="X298" s="91"/>
      <c r="Y298" s="91"/>
      <c r="Z298" s="91"/>
    </row>
    <row r="299" ht="24.0" customHeight="1">
      <c r="B299" s="90"/>
      <c r="C299" s="90"/>
      <c r="D299" s="90"/>
      <c r="E299" s="90"/>
      <c r="F299" s="90"/>
      <c r="G299" s="90"/>
      <c r="H299" s="90"/>
      <c r="I299" s="90"/>
      <c r="J299" s="90"/>
      <c r="K299" s="90"/>
      <c r="L299" s="90"/>
      <c r="M299" s="91"/>
      <c r="N299" s="91"/>
      <c r="O299" s="91"/>
      <c r="P299" s="91"/>
      <c r="Q299" s="91"/>
      <c r="R299" s="91"/>
      <c r="S299" s="91"/>
      <c r="T299" s="91"/>
      <c r="U299" s="91"/>
      <c r="V299" s="91"/>
      <c r="W299" s="91"/>
      <c r="X299" s="91"/>
      <c r="Y299" s="91"/>
      <c r="Z299" s="91"/>
    </row>
    <row r="300" ht="24.0" customHeight="1">
      <c r="B300" s="90"/>
      <c r="C300" s="90"/>
      <c r="D300" s="90"/>
      <c r="E300" s="90"/>
      <c r="F300" s="90"/>
      <c r="G300" s="90"/>
      <c r="H300" s="90"/>
      <c r="I300" s="90"/>
      <c r="J300" s="90"/>
      <c r="K300" s="90"/>
      <c r="L300" s="90"/>
      <c r="M300" s="91"/>
      <c r="N300" s="91"/>
      <c r="O300" s="91"/>
      <c r="P300" s="91"/>
      <c r="Q300" s="91"/>
      <c r="R300" s="91"/>
      <c r="S300" s="91"/>
      <c r="T300" s="91"/>
      <c r="U300" s="91"/>
      <c r="V300" s="91"/>
      <c r="W300" s="91"/>
      <c r="X300" s="91"/>
      <c r="Y300" s="91"/>
      <c r="Z300" s="91"/>
    </row>
    <row r="301" ht="24.0" customHeight="1">
      <c r="B301" s="90"/>
      <c r="C301" s="90"/>
      <c r="D301" s="90"/>
      <c r="E301" s="90"/>
      <c r="F301" s="90"/>
      <c r="G301" s="90"/>
      <c r="H301" s="90"/>
      <c r="I301" s="90"/>
      <c r="J301" s="90"/>
      <c r="K301" s="90"/>
      <c r="L301" s="90"/>
      <c r="M301" s="91"/>
      <c r="N301" s="91"/>
      <c r="O301" s="91"/>
      <c r="P301" s="91"/>
      <c r="Q301" s="91"/>
      <c r="R301" s="91"/>
      <c r="S301" s="91"/>
      <c r="T301" s="91"/>
      <c r="U301" s="91"/>
      <c r="V301" s="91"/>
      <c r="W301" s="91"/>
      <c r="X301" s="91"/>
      <c r="Y301" s="91"/>
      <c r="Z301" s="91"/>
    </row>
    <row r="302" ht="24.0" customHeight="1">
      <c r="B302" s="90"/>
      <c r="C302" s="90"/>
      <c r="D302" s="90"/>
      <c r="E302" s="90"/>
      <c r="F302" s="90"/>
      <c r="G302" s="90"/>
      <c r="H302" s="90"/>
      <c r="I302" s="90"/>
      <c r="J302" s="90"/>
      <c r="K302" s="90"/>
      <c r="L302" s="90"/>
      <c r="M302" s="91"/>
      <c r="N302" s="91"/>
      <c r="O302" s="91"/>
      <c r="P302" s="91"/>
      <c r="Q302" s="91"/>
      <c r="R302" s="91"/>
      <c r="S302" s="91"/>
      <c r="T302" s="91"/>
      <c r="U302" s="91"/>
      <c r="V302" s="91"/>
      <c r="W302" s="91"/>
      <c r="X302" s="91"/>
      <c r="Y302" s="91"/>
      <c r="Z302" s="91"/>
    </row>
    <row r="303" ht="24.0" customHeight="1">
      <c r="B303" s="90"/>
      <c r="C303" s="90"/>
      <c r="D303" s="90"/>
      <c r="E303" s="90"/>
      <c r="F303" s="90"/>
      <c r="G303" s="90"/>
      <c r="H303" s="90"/>
      <c r="I303" s="90"/>
      <c r="J303" s="90"/>
      <c r="K303" s="90"/>
      <c r="L303" s="90"/>
      <c r="M303" s="91"/>
      <c r="N303" s="91"/>
      <c r="O303" s="91"/>
      <c r="P303" s="91"/>
      <c r="Q303" s="91"/>
      <c r="R303" s="91"/>
      <c r="S303" s="91"/>
      <c r="T303" s="91"/>
      <c r="U303" s="91"/>
      <c r="V303" s="91"/>
      <c r="W303" s="91"/>
      <c r="X303" s="91"/>
      <c r="Y303" s="91"/>
      <c r="Z303" s="91"/>
    </row>
    <row r="304" ht="24.0" customHeight="1">
      <c r="B304" s="90"/>
      <c r="C304" s="90"/>
      <c r="D304" s="90"/>
      <c r="E304" s="90"/>
      <c r="F304" s="90"/>
      <c r="G304" s="90"/>
      <c r="H304" s="90"/>
      <c r="I304" s="90"/>
      <c r="J304" s="90"/>
      <c r="K304" s="90"/>
      <c r="L304" s="90"/>
      <c r="M304" s="91"/>
      <c r="N304" s="91"/>
      <c r="O304" s="91"/>
      <c r="P304" s="91"/>
      <c r="Q304" s="91"/>
      <c r="R304" s="91"/>
      <c r="S304" s="91"/>
      <c r="T304" s="91"/>
      <c r="U304" s="91"/>
      <c r="V304" s="91"/>
      <c r="W304" s="91"/>
      <c r="X304" s="91"/>
      <c r="Y304" s="91"/>
      <c r="Z304" s="91"/>
    </row>
    <row r="305" ht="24.0" customHeight="1">
      <c r="B305" s="90"/>
      <c r="C305" s="90"/>
      <c r="D305" s="90"/>
      <c r="E305" s="90"/>
      <c r="F305" s="90"/>
      <c r="G305" s="90"/>
      <c r="H305" s="90"/>
      <c r="I305" s="90"/>
      <c r="J305" s="90"/>
      <c r="K305" s="90"/>
      <c r="L305" s="90"/>
      <c r="M305" s="91"/>
      <c r="N305" s="91"/>
      <c r="O305" s="91"/>
      <c r="P305" s="91"/>
      <c r="Q305" s="91"/>
      <c r="R305" s="91"/>
      <c r="S305" s="91"/>
      <c r="T305" s="91"/>
      <c r="U305" s="91"/>
      <c r="V305" s="91"/>
      <c r="W305" s="91"/>
      <c r="X305" s="91"/>
      <c r="Y305" s="91"/>
      <c r="Z305" s="91"/>
    </row>
    <row r="306" ht="24.0" customHeight="1">
      <c r="B306" s="90"/>
      <c r="C306" s="90"/>
      <c r="D306" s="90"/>
      <c r="E306" s="90"/>
      <c r="F306" s="90"/>
      <c r="G306" s="90"/>
      <c r="H306" s="90"/>
      <c r="I306" s="90"/>
      <c r="J306" s="90"/>
      <c r="K306" s="90"/>
      <c r="L306" s="90"/>
      <c r="M306" s="91"/>
      <c r="N306" s="91"/>
      <c r="O306" s="91"/>
      <c r="P306" s="91"/>
      <c r="Q306" s="91"/>
      <c r="R306" s="91"/>
      <c r="S306" s="91"/>
      <c r="T306" s="91"/>
      <c r="U306" s="91"/>
      <c r="V306" s="91"/>
      <c r="W306" s="91"/>
      <c r="X306" s="91"/>
      <c r="Y306" s="91"/>
      <c r="Z306" s="91"/>
    </row>
    <row r="307" ht="24.0" customHeight="1">
      <c r="B307" s="90"/>
      <c r="C307" s="90"/>
      <c r="D307" s="90"/>
      <c r="E307" s="90"/>
      <c r="F307" s="90"/>
      <c r="G307" s="90"/>
      <c r="H307" s="90"/>
      <c r="I307" s="90"/>
      <c r="J307" s="90"/>
      <c r="K307" s="90"/>
      <c r="L307" s="90"/>
      <c r="M307" s="91"/>
      <c r="N307" s="91"/>
      <c r="O307" s="91"/>
      <c r="P307" s="91"/>
      <c r="Q307" s="91"/>
      <c r="R307" s="91"/>
      <c r="S307" s="91"/>
      <c r="T307" s="91"/>
      <c r="U307" s="91"/>
      <c r="V307" s="91"/>
      <c r="W307" s="91"/>
      <c r="X307" s="91"/>
      <c r="Y307" s="91"/>
      <c r="Z307" s="91"/>
    </row>
    <row r="308" ht="24.0" customHeight="1">
      <c r="B308" s="90"/>
      <c r="C308" s="90"/>
      <c r="D308" s="90"/>
      <c r="E308" s="90"/>
      <c r="F308" s="90"/>
      <c r="G308" s="90"/>
      <c r="H308" s="90"/>
      <c r="I308" s="90"/>
      <c r="J308" s="90"/>
      <c r="K308" s="90"/>
      <c r="L308" s="90"/>
      <c r="M308" s="91"/>
      <c r="N308" s="91"/>
      <c r="O308" s="91"/>
      <c r="P308" s="91"/>
      <c r="Q308" s="91"/>
      <c r="R308" s="91"/>
      <c r="S308" s="91"/>
      <c r="T308" s="91"/>
      <c r="U308" s="91"/>
      <c r="V308" s="91"/>
      <c r="W308" s="91"/>
      <c r="X308" s="91"/>
      <c r="Y308" s="91"/>
      <c r="Z308" s="91"/>
    </row>
    <row r="309" ht="24.0" customHeight="1">
      <c r="B309" s="90"/>
      <c r="C309" s="90"/>
      <c r="D309" s="90"/>
      <c r="E309" s="90"/>
      <c r="F309" s="90"/>
      <c r="G309" s="90"/>
      <c r="H309" s="90"/>
      <c r="I309" s="90"/>
      <c r="J309" s="90"/>
      <c r="K309" s="90"/>
      <c r="L309" s="90"/>
      <c r="M309" s="91"/>
      <c r="N309" s="91"/>
      <c r="O309" s="91"/>
      <c r="P309" s="91"/>
      <c r="Q309" s="91"/>
      <c r="R309" s="91"/>
      <c r="S309" s="91"/>
      <c r="T309" s="91"/>
      <c r="U309" s="91"/>
      <c r="V309" s="91"/>
      <c r="W309" s="91"/>
      <c r="X309" s="91"/>
      <c r="Y309" s="91"/>
      <c r="Z309" s="91"/>
    </row>
    <row r="310" ht="24.0" customHeight="1">
      <c r="B310" s="90"/>
      <c r="C310" s="90"/>
      <c r="D310" s="90"/>
      <c r="E310" s="90"/>
      <c r="F310" s="90"/>
      <c r="G310" s="90"/>
      <c r="H310" s="90"/>
      <c r="I310" s="90"/>
      <c r="J310" s="90"/>
      <c r="K310" s="90"/>
      <c r="L310" s="90"/>
      <c r="M310" s="91"/>
      <c r="N310" s="91"/>
      <c r="O310" s="91"/>
      <c r="P310" s="91"/>
      <c r="Q310" s="91"/>
      <c r="R310" s="91"/>
      <c r="S310" s="91"/>
      <c r="T310" s="91"/>
      <c r="U310" s="91"/>
      <c r="V310" s="91"/>
      <c r="W310" s="91"/>
      <c r="X310" s="91"/>
      <c r="Y310" s="91"/>
      <c r="Z310" s="91"/>
    </row>
    <row r="311" ht="24.0" customHeight="1">
      <c r="B311" s="90"/>
      <c r="C311" s="90"/>
      <c r="D311" s="90"/>
      <c r="E311" s="90"/>
      <c r="F311" s="90"/>
      <c r="G311" s="90"/>
      <c r="H311" s="90"/>
      <c r="I311" s="90"/>
      <c r="J311" s="90"/>
      <c r="K311" s="90"/>
      <c r="L311" s="90"/>
      <c r="M311" s="91"/>
      <c r="N311" s="91"/>
      <c r="O311" s="91"/>
      <c r="P311" s="91"/>
      <c r="Q311" s="91"/>
      <c r="R311" s="91"/>
      <c r="S311" s="91"/>
      <c r="T311" s="91"/>
      <c r="U311" s="91"/>
      <c r="V311" s="91"/>
      <c r="W311" s="91"/>
      <c r="X311" s="91"/>
      <c r="Y311" s="91"/>
      <c r="Z311" s="91"/>
    </row>
    <row r="312" ht="24.0" customHeight="1">
      <c r="B312" s="90"/>
      <c r="C312" s="90"/>
      <c r="D312" s="90"/>
      <c r="E312" s="90"/>
      <c r="F312" s="90"/>
      <c r="G312" s="90"/>
      <c r="H312" s="90"/>
      <c r="I312" s="90"/>
      <c r="J312" s="90"/>
      <c r="K312" s="90"/>
      <c r="L312" s="90"/>
      <c r="M312" s="91"/>
      <c r="N312" s="91"/>
      <c r="O312" s="91"/>
      <c r="P312" s="91"/>
      <c r="Q312" s="91"/>
      <c r="R312" s="91"/>
      <c r="S312" s="91"/>
      <c r="T312" s="91"/>
      <c r="U312" s="91"/>
      <c r="V312" s="91"/>
      <c r="W312" s="91"/>
      <c r="X312" s="91"/>
      <c r="Y312" s="91"/>
      <c r="Z312" s="91"/>
    </row>
    <row r="313" ht="24.0" customHeight="1">
      <c r="B313" s="90"/>
      <c r="C313" s="90"/>
      <c r="D313" s="90"/>
      <c r="E313" s="90"/>
      <c r="F313" s="90"/>
      <c r="G313" s="90"/>
      <c r="H313" s="90"/>
      <c r="I313" s="90"/>
      <c r="J313" s="90"/>
      <c r="K313" s="90"/>
      <c r="L313" s="90"/>
      <c r="M313" s="91"/>
      <c r="N313" s="91"/>
      <c r="O313" s="91"/>
      <c r="P313" s="91"/>
      <c r="Q313" s="91"/>
      <c r="R313" s="91"/>
      <c r="S313" s="91"/>
      <c r="T313" s="91"/>
      <c r="U313" s="91"/>
      <c r="V313" s="91"/>
      <c r="W313" s="91"/>
      <c r="X313" s="91"/>
      <c r="Y313" s="91"/>
      <c r="Z313" s="91"/>
    </row>
    <row r="314" ht="24.0" customHeight="1">
      <c r="B314" s="90"/>
      <c r="C314" s="90"/>
      <c r="D314" s="90"/>
      <c r="E314" s="90"/>
      <c r="F314" s="90"/>
      <c r="G314" s="90"/>
      <c r="H314" s="90"/>
      <c r="I314" s="90"/>
      <c r="J314" s="90"/>
      <c r="K314" s="90"/>
      <c r="L314" s="90"/>
      <c r="M314" s="91"/>
      <c r="N314" s="91"/>
      <c r="O314" s="91"/>
      <c r="P314" s="91"/>
      <c r="Q314" s="91"/>
      <c r="R314" s="91"/>
      <c r="S314" s="91"/>
      <c r="T314" s="91"/>
      <c r="U314" s="91"/>
      <c r="V314" s="91"/>
      <c r="W314" s="91"/>
      <c r="X314" s="91"/>
      <c r="Y314" s="91"/>
      <c r="Z314" s="91"/>
    </row>
    <row r="315" ht="24.0" customHeight="1">
      <c r="B315" s="90"/>
      <c r="C315" s="90"/>
      <c r="D315" s="90"/>
      <c r="E315" s="90"/>
      <c r="F315" s="90"/>
      <c r="G315" s="90"/>
      <c r="H315" s="90"/>
      <c r="I315" s="90"/>
      <c r="J315" s="90"/>
      <c r="K315" s="90"/>
      <c r="L315" s="90"/>
      <c r="M315" s="91"/>
      <c r="N315" s="91"/>
      <c r="O315" s="91"/>
      <c r="P315" s="91"/>
      <c r="Q315" s="91"/>
      <c r="R315" s="91"/>
      <c r="S315" s="91"/>
      <c r="T315" s="91"/>
      <c r="U315" s="91"/>
      <c r="V315" s="91"/>
      <c r="W315" s="91"/>
      <c r="X315" s="91"/>
      <c r="Y315" s="91"/>
      <c r="Z315" s="91"/>
    </row>
    <row r="316" ht="24.0" customHeight="1">
      <c r="B316" s="90"/>
      <c r="C316" s="90"/>
      <c r="D316" s="90"/>
      <c r="E316" s="90"/>
      <c r="F316" s="90"/>
      <c r="G316" s="90"/>
      <c r="H316" s="90"/>
      <c r="I316" s="90"/>
      <c r="J316" s="90"/>
      <c r="K316" s="90"/>
      <c r="L316" s="90"/>
      <c r="M316" s="91"/>
      <c r="N316" s="91"/>
      <c r="O316" s="91"/>
      <c r="P316" s="91"/>
      <c r="Q316" s="91"/>
      <c r="R316" s="91"/>
      <c r="S316" s="91"/>
      <c r="T316" s="91"/>
      <c r="U316" s="91"/>
      <c r="V316" s="91"/>
      <c r="W316" s="91"/>
      <c r="X316" s="91"/>
      <c r="Y316" s="91"/>
      <c r="Z316" s="91"/>
    </row>
    <row r="317" ht="24.0" customHeight="1">
      <c r="B317" s="90"/>
      <c r="C317" s="90"/>
      <c r="D317" s="90"/>
      <c r="E317" s="90"/>
      <c r="F317" s="90"/>
      <c r="G317" s="90"/>
      <c r="H317" s="90"/>
      <c r="I317" s="90"/>
      <c r="J317" s="90"/>
      <c r="K317" s="90"/>
      <c r="L317" s="90"/>
      <c r="M317" s="91"/>
      <c r="N317" s="91"/>
      <c r="O317" s="91"/>
      <c r="P317" s="91"/>
      <c r="Q317" s="91"/>
      <c r="R317" s="91"/>
      <c r="S317" s="91"/>
      <c r="T317" s="91"/>
      <c r="U317" s="91"/>
      <c r="V317" s="91"/>
      <c r="W317" s="91"/>
      <c r="X317" s="91"/>
      <c r="Y317" s="91"/>
      <c r="Z317" s="91"/>
    </row>
    <row r="318" ht="24.0" customHeight="1">
      <c r="B318" s="90"/>
      <c r="C318" s="90"/>
      <c r="D318" s="90"/>
      <c r="E318" s="90"/>
      <c r="F318" s="90"/>
      <c r="G318" s="90"/>
      <c r="H318" s="90"/>
      <c r="I318" s="90"/>
      <c r="J318" s="90"/>
      <c r="K318" s="90"/>
      <c r="L318" s="90"/>
      <c r="M318" s="91"/>
      <c r="N318" s="91"/>
      <c r="O318" s="91"/>
      <c r="P318" s="91"/>
      <c r="Q318" s="91"/>
      <c r="R318" s="91"/>
      <c r="S318" s="91"/>
      <c r="T318" s="91"/>
      <c r="U318" s="91"/>
      <c r="V318" s="91"/>
      <c r="W318" s="91"/>
      <c r="X318" s="91"/>
      <c r="Y318" s="91"/>
      <c r="Z318" s="91"/>
    </row>
    <row r="319" ht="24.0" customHeight="1">
      <c r="B319" s="90"/>
      <c r="C319" s="90"/>
      <c r="D319" s="90"/>
      <c r="E319" s="90"/>
      <c r="F319" s="90"/>
      <c r="G319" s="90"/>
      <c r="H319" s="90"/>
      <c r="I319" s="90"/>
      <c r="J319" s="90"/>
      <c r="K319" s="90"/>
      <c r="L319" s="90"/>
      <c r="M319" s="91"/>
      <c r="N319" s="91"/>
      <c r="O319" s="91"/>
      <c r="P319" s="91"/>
      <c r="Q319" s="91"/>
      <c r="R319" s="91"/>
      <c r="S319" s="91"/>
      <c r="T319" s="91"/>
      <c r="U319" s="91"/>
      <c r="V319" s="91"/>
      <c r="W319" s="91"/>
      <c r="X319" s="91"/>
      <c r="Y319" s="91"/>
      <c r="Z319" s="91"/>
    </row>
    <row r="320" ht="24.0" customHeight="1">
      <c r="B320" s="90"/>
      <c r="C320" s="90"/>
      <c r="D320" s="90"/>
      <c r="E320" s="90"/>
      <c r="F320" s="90"/>
      <c r="G320" s="90"/>
      <c r="H320" s="90"/>
      <c r="I320" s="90"/>
      <c r="J320" s="90"/>
      <c r="K320" s="90"/>
      <c r="L320" s="90"/>
      <c r="M320" s="91"/>
      <c r="N320" s="91"/>
      <c r="O320" s="91"/>
      <c r="P320" s="91"/>
      <c r="Q320" s="91"/>
      <c r="R320" s="91"/>
      <c r="S320" s="91"/>
      <c r="T320" s="91"/>
      <c r="U320" s="91"/>
      <c r="V320" s="91"/>
      <c r="W320" s="91"/>
      <c r="X320" s="91"/>
      <c r="Y320" s="91"/>
      <c r="Z320" s="91"/>
    </row>
    <row r="321" ht="24.0" customHeight="1">
      <c r="B321" s="90"/>
      <c r="C321" s="90"/>
      <c r="D321" s="90"/>
      <c r="E321" s="90"/>
      <c r="F321" s="90"/>
      <c r="G321" s="90"/>
      <c r="H321" s="90"/>
      <c r="I321" s="90"/>
      <c r="J321" s="90"/>
      <c r="K321" s="90"/>
      <c r="L321" s="90"/>
      <c r="M321" s="91"/>
      <c r="N321" s="91"/>
      <c r="O321" s="91"/>
      <c r="P321" s="91"/>
      <c r="Q321" s="91"/>
      <c r="R321" s="91"/>
      <c r="S321" s="91"/>
      <c r="T321" s="91"/>
      <c r="U321" s="91"/>
      <c r="V321" s="91"/>
      <c r="W321" s="91"/>
      <c r="X321" s="91"/>
      <c r="Y321" s="91"/>
      <c r="Z321" s="91"/>
    </row>
    <row r="322" ht="24.0" customHeight="1">
      <c r="B322" s="90"/>
      <c r="C322" s="90"/>
      <c r="D322" s="90"/>
      <c r="E322" s="90"/>
      <c r="F322" s="90"/>
      <c r="G322" s="90"/>
      <c r="H322" s="90"/>
      <c r="I322" s="90"/>
      <c r="J322" s="90"/>
      <c r="K322" s="90"/>
      <c r="L322" s="90"/>
      <c r="M322" s="91"/>
      <c r="N322" s="91"/>
      <c r="O322" s="91"/>
      <c r="P322" s="91"/>
      <c r="Q322" s="91"/>
      <c r="R322" s="91"/>
      <c r="S322" s="91"/>
      <c r="T322" s="91"/>
      <c r="U322" s="91"/>
      <c r="V322" s="91"/>
      <c r="W322" s="91"/>
      <c r="X322" s="91"/>
      <c r="Y322" s="91"/>
      <c r="Z322" s="91"/>
    </row>
    <row r="323" ht="24.0" customHeight="1">
      <c r="B323" s="90"/>
      <c r="C323" s="90"/>
      <c r="D323" s="90"/>
      <c r="E323" s="90"/>
      <c r="F323" s="90"/>
      <c r="G323" s="90"/>
      <c r="H323" s="90"/>
      <c r="I323" s="90"/>
      <c r="J323" s="90"/>
      <c r="K323" s="90"/>
      <c r="L323" s="90"/>
      <c r="M323" s="91"/>
      <c r="N323" s="91"/>
      <c r="O323" s="91"/>
      <c r="P323" s="91"/>
      <c r="Q323" s="91"/>
      <c r="R323" s="91"/>
      <c r="S323" s="91"/>
      <c r="T323" s="91"/>
      <c r="U323" s="91"/>
      <c r="V323" s="91"/>
      <c r="W323" s="91"/>
      <c r="X323" s="91"/>
      <c r="Y323" s="91"/>
      <c r="Z323" s="91"/>
    </row>
    <row r="324" ht="24.0" customHeight="1">
      <c r="B324" s="90"/>
      <c r="C324" s="90"/>
      <c r="D324" s="90"/>
      <c r="E324" s="90"/>
      <c r="F324" s="90"/>
      <c r="G324" s="90"/>
      <c r="H324" s="90"/>
      <c r="I324" s="90"/>
      <c r="J324" s="90"/>
      <c r="K324" s="90"/>
      <c r="L324" s="90"/>
      <c r="M324" s="91"/>
      <c r="N324" s="91"/>
      <c r="O324" s="91"/>
      <c r="P324" s="91"/>
      <c r="Q324" s="91"/>
      <c r="R324" s="91"/>
      <c r="S324" s="91"/>
      <c r="T324" s="91"/>
      <c r="U324" s="91"/>
      <c r="V324" s="91"/>
      <c r="W324" s="91"/>
      <c r="X324" s="91"/>
      <c r="Y324" s="91"/>
      <c r="Z324" s="91"/>
    </row>
    <row r="325" ht="24.0" customHeight="1">
      <c r="B325" s="90"/>
      <c r="C325" s="90"/>
      <c r="D325" s="90"/>
      <c r="E325" s="90"/>
      <c r="F325" s="90"/>
      <c r="G325" s="90"/>
      <c r="H325" s="90"/>
      <c r="I325" s="90"/>
      <c r="J325" s="90"/>
      <c r="K325" s="90"/>
      <c r="L325" s="90"/>
      <c r="M325" s="91"/>
      <c r="N325" s="91"/>
      <c r="O325" s="91"/>
      <c r="P325" s="91"/>
      <c r="Q325" s="91"/>
      <c r="R325" s="91"/>
      <c r="S325" s="91"/>
      <c r="T325" s="91"/>
      <c r="U325" s="91"/>
      <c r="V325" s="91"/>
      <c r="W325" s="91"/>
      <c r="X325" s="91"/>
      <c r="Y325" s="91"/>
      <c r="Z325" s="91"/>
    </row>
    <row r="326" ht="24.0" customHeight="1">
      <c r="B326" s="90"/>
      <c r="C326" s="90"/>
      <c r="D326" s="90"/>
      <c r="E326" s="90"/>
      <c r="F326" s="90"/>
      <c r="G326" s="90"/>
      <c r="H326" s="90"/>
      <c r="I326" s="90"/>
      <c r="J326" s="90"/>
      <c r="K326" s="90"/>
      <c r="L326" s="90"/>
      <c r="M326" s="91"/>
      <c r="N326" s="91"/>
      <c r="O326" s="91"/>
      <c r="P326" s="91"/>
      <c r="Q326" s="91"/>
      <c r="R326" s="91"/>
      <c r="S326" s="91"/>
      <c r="T326" s="91"/>
      <c r="U326" s="91"/>
      <c r="V326" s="91"/>
      <c r="W326" s="91"/>
      <c r="X326" s="91"/>
      <c r="Y326" s="91"/>
      <c r="Z326" s="91"/>
    </row>
    <row r="327" ht="24.0" customHeight="1">
      <c r="B327" s="90"/>
      <c r="C327" s="90"/>
      <c r="D327" s="90"/>
      <c r="E327" s="90"/>
      <c r="F327" s="90"/>
      <c r="G327" s="90"/>
      <c r="H327" s="90"/>
      <c r="I327" s="90"/>
      <c r="J327" s="90"/>
      <c r="K327" s="90"/>
      <c r="L327" s="90"/>
      <c r="M327" s="91"/>
      <c r="N327" s="91"/>
      <c r="O327" s="91"/>
      <c r="P327" s="91"/>
      <c r="Q327" s="91"/>
      <c r="R327" s="91"/>
      <c r="S327" s="91"/>
      <c r="T327" s="91"/>
      <c r="U327" s="91"/>
      <c r="V327" s="91"/>
      <c r="W327" s="91"/>
      <c r="X327" s="91"/>
      <c r="Y327" s="91"/>
      <c r="Z327" s="91"/>
    </row>
    <row r="328" ht="24.0" customHeight="1">
      <c r="B328" s="90"/>
      <c r="C328" s="90"/>
      <c r="D328" s="90"/>
      <c r="E328" s="90"/>
      <c r="F328" s="90"/>
      <c r="G328" s="90"/>
      <c r="H328" s="90"/>
      <c r="I328" s="90"/>
      <c r="J328" s="90"/>
      <c r="K328" s="90"/>
      <c r="L328" s="90"/>
      <c r="M328" s="91"/>
      <c r="N328" s="91"/>
      <c r="O328" s="91"/>
      <c r="P328" s="91"/>
      <c r="Q328" s="91"/>
      <c r="R328" s="91"/>
      <c r="S328" s="91"/>
      <c r="T328" s="91"/>
      <c r="U328" s="91"/>
      <c r="V328" s="91"/>
      <c r="W328" s="91"/>
      <c r="X328" s="91"/>
      <c r="Y328" s="91"/>
      <c r="Z328" s="91"/>
    </row>
    <row r="329" ht="24.0" customHeight="1">
      <c r="B329" s="90"/>
      <c r="C329" s="90"/>
      <c r="D329" s="90"/>
      <c r="E329" s="90"/>
      <c r="F329" s="90"/>
      <c r="G329" s="90"/>
      <c r="H329" s="90"/>
      <c r="I329" s="90"/>
      <c r="J329" s="90"/>
      <c r="K329" s="90"/>
      <c r="L329" s="90"/>
      <c r="M329" s="91"/>
      <c r="N329" s="91"/>
      <c r="O329" s="91"/>
      <c r="P329" s="91"/>
      <c r="Q329" s="91"/>
      <c r="R329" s="91"/>
      <c r="S329" s="91"/>
      <c r="T329" s="91"/>
      <c r="U329" s="91"/>
      <c r="V329" s="91"/>
      <c r="W329" s="91"/>
      <c r="X329" s="91"/>
      <c r="Y329" s="91"/>
      <c r="Z329" s="91"/>
    </row>
    <row r="330" ht="24.0" customHeight="1">
      <c r="B330" s="90"/>
      <c r="C330" s="90"/>
      <c r="D330" s="90"/>
      <c r="E330" s="90"/>
      <c r="F330" s="90"/>
      <c r="G330" s="90"/>
      <c r="H330" s="90"/>
      <c r="I330" s="90"/>
      <c r="J330" s="90"/>
      <c r="K330" s="90"/>
      <c r="L330" s="90"/>
      <c r="M330" s="91"/>
      <c r="N330" s="91"/>
      <c r="O330" s="91"/>
      <c r="P330" s="91"/>
      <c r="Q330" s="91"/>
      <c r="R330" s="91"/>
      <c r="S330" s="91"/>
      <c r="T330" s="91"/>
      <c r="U330" s="91"/>
      <c r="V330" s="91"/>
      <c r="W330" s="91"/>
      <c r="X330" s="91"/>
      <c r="Y330" s="91"/>
      <c r="Z330" s="91"/>
    </row>
    <row r="331" ht="24.0" customHeight="1">
      <c r="B331" s="90"/>
      <c r="C331" s="90"/>
      <c r="D331" s="90"/>
      <c r="E331" s="90"/>
      <c r="F331" s="90"/>
      <c r="G331" s="90"/>
      <c r="H331" s="90"/>
      <c r="I331" s="90"/>
      <c r="J331" s="90"/>
      <c r="K331" s="90"/>
      <c r="L331" s="90"/>
      <c r="M331" s="91"/>
      <c r="N331" s="91"/>
      <c r="O331" s="91"/>
      <c r="P331" s="91"/>
      <c r="Q331" s="91"/>
      <c r="R331" s="91"/>
      <c r="S331" s="91"/>
      <c r="T331" s="91"/>
      <c r="U331" s="91"/>
      <c r="V331" s="91"/>
      <c r="W331" s="91"/>
      <c r="X331" s="91"/>
      <c r="Y331" s="91"/>
      <c r="Z331" s="91"/>
    </row>
    <row r="332" ht="24.0" customHeight="1">
      <c r="B332" s="90"/>
      <c r="C332" s="90"/>
      <c r="D332" s="90"/>
      <c r="E332" s="90"/>
      <c r="F332" s="90"/>
      <c r="G332" s="90"/>
      <c r="H332" s="90"/>
      <c r="I332" s="90"/>
      <c r="J332" s="90"/>
      <c r="K332" s="90"/>
      <c r="L332" s="90"/>
      <c r="M332" s="91"/>
      <c r="N332" s="91"/>
      <c r="O332" s="91"/>
      <c r="P332" s="91"/>
      <c r="Q332" s="91"/>
      <c r="R332" s="91"/>
      <c r="S332" s="91"/>
      <c r="T332" s="91"/>
      <c r="U332" s="91"/>
      <c r="V332" s="91"/>
      <c r="W332" s="91"/>
      <c r="X332" s="91"/>
      <c r="Y332" s="91"/>
      <c r="Z332" s="91"/>
    </row>
    <row r="333" ht="24.0" customHeight="1">
      <c r="B333" s="90"/>
      <c r="C333" s="90"/>
      <c r="D333" s="90"/>
      <c r="E333" s="90"/>
      <c r="F333" s="90"/>
      <c r="G333" s="90"/>
      <c r="H333" s="90"/>
      <c r="I333" s="90"/>
      <c r="J333" s="90"/>
      <c r="K333" s="90"/>
      <c r="L333" s="90"/>
      <c r="M333" s="91"/>
      <c r="N333" s="91"/>
      <c r="O333" s="91"/>
      <c r="P333" s="91"/>
      <c r="Q333" s="91"/>
      <c r="R333" s="91"/>
      <c r="S333" s="91"/>
      <c r="T333" s="91"/>
      <c r="U333" s="91"/>
      <c r="V333" s="91"/>
      <c r="W333" s="91"/>
      <c r="X333" s="91"/>
      <c r="Y333" s="91"/>
      <c r="Z333" s="91"/>
    </row>
    <row r="334" ht="24.0" customHeight="1">
      <c r="B334" s="90"/>
      <c r="C334" s="90"/>
      <c r="D334" s="90"/>
      <c r="E334" s="90"/>
      <c r="F334" s="90"/>
      <c r="G334" s="90"/>
      <c r="H334" s="90"/>
      <c r="I334" s="90"/>
      <c r="J334" s="90"/>
      <c r="K334" s="90"/>
      <c r="L334" s="90"/>
      <c r="M334" s="91"/>
      <c r="N334" s="91"/>
      <c r="O334" s="91"/>
      <c r="P334" s="91"/>
      <c r="Q334" s="91"/>
      <c r="R334" s="91"/>
      <c r="S334" s="91"/>
      <c r="T334" s="91"/>
      <c r="U334" s="91"/>
      <c r="V334" s="91"/>
      <c r="W334" s="91"/>
      <c r="X334" s="91"/>
      <c r="Y334" s="91"/>
      <c r="Z334" s="91"/>
    </row>
    <row r="335" ht="24.0" customHeight="1">
      <c r="B335" s="90"/>
      <c r="C335" s="90"/>
      <c r="D335" s="90"/>
      <c r="E335" s="90"/>
      <c r="F335" s="90"/>
      <c r="G335" s="90"/>
      <c r="H335" s="90"/>
      <c r="I335" s="90"/>
      <c r="J335" s="90"/>
      <c r="K335" s="90"/>
      <c r="L335" s="90"/>
      <c r="M335" s="91"/>
      <c r="N335" s="91"/>
      <c r="O335" s="91"/>
      <c r="P335" s="91"/>
      <c r="Q335" s="91"/>
      <c r="R335" s="91"/>
      <c r="S335" s="91"/>
      <c r="T335" s="91"/>
      <c r="U335" s="91"/>
      <c r="V335" s="91"/>
      <c r="W335" s="91"/>
      <c r="X335" s="91"/>
      <c r="Y335" s="91"/>
      <c r="Z335" s="91"/>
    </row>
    <row r="336" ht="24.0" customHeight="1">
      <c r="B336" s="90"/>
      <c r="C336" s="90"/>
      <c r="D336" s="90"/>
      <c r="E336" s="90"/>
      <c r="F336" s="90"/>
      <c r="G336" s="90"/>
      <c r="H336" s="90"/>
      <c r="I336" s="90"/>
      <c r="J336" s="90"/>
      <c r="K336" s="90"/>
      <c r="L336" s="90"/>
      <c r="M336" s="91"/>
      <c r="N336" s="91"/>
      <c r="O336" s="91"/>
      <c r="P336" s="91"/>
      <c r="Q336" s="91"/>
      <c r="R336" s="91"/>
      <c r="S336" s="91"/>
      <c r="T336" s="91"/>
      <c r="U336" s="91"/>
      <c r="V336" s="91"/>
      <c r="W336" s="91"/>
      <c r="X336" s="91"/>
      <c r="Y336" s="91"/>
      <c r="Z336" s="91"/>
    </row>
    <row r="337" ht="24.0" customHeight="1">
      <c r="B337" s="90"/>
      <c r="C337" s="90"/>
      <c r="D337" s="90"/>
      <c r="E337" s="90"/>
      <c r="F337" s="90"/>
      <c r="G337" s="90"/>
      <c r="H337" s="90"/>
      <c r="I337" s="90"/>
      <c r="J337" s="90"/>
      <c r="K337" s="90"/>
      <c r="L337" s="90"/>
      <c r="M337" s="91"/>
      <c r="N337" s="91"/>
      <c r="O337" s="91"/>
      <c r="P337" s="91"/>
      <c r="Q337" s="91"/>
      <c r="R337" s="91"/>
      <c r="S337" s="91"/>
      <c r="T337" s="91"/>
      <c r="U337" s="91"/>
      <c r="V337" s="91"/>
      <c r="W337" s="91"/>
      <c r="X337" s="91"/>
      <c r="Y337" s="91"/>
      <c r="Z337" s="91"/>
    </row>
    <row r="338" ht="24.0" customHeight="1">
      <c r="B338" s="90"/>
      <c r="C338" s="90"/>
      <c r="D338" s="90"/>
      <c r="E338" s="90"/>
      <c r="F338" s="90"/>
      <c r="G338" s="90"/>
      <c r="H338" s="90"/>
      <c r="I338" s="90"/>
      <c r="J338" s="90"/>
      <c r="K338" s="90"/>
      <c r="L338" s="90"/>
      <c r="M338" s="91"/>
      <c r="N338" s="91"/>
      <c r="O338" s="91"/>
      <c r="P338" s="91"/>
      <c r="Q338" s="91"/>
      <c r="R338" s="91"/>
      <c r="S338" s="91"/>
      <c r="T338" s="91"/>
      <c r="U338" s="91"/>
      <c r="V338" s="91"/>
      <c r="W338" s="91"/>
      <c r="X338" s="91"/>
      <c r="Y338" s="91"/>
      <c r="Z338" s="91"/>
    </row>
    <row r="339" ht="24.0" customHeight="1">
      <c r="B339" s="90"/>
      <c r="C339" s="90"/>
      <c r="D339" s="90"/>
      <c r="E339" s="90"/>
      <c r="F339" s="90"/>
      <c r="G339" s="90"/>
      <c r="H339" s="90"/>
      <c r="I339" s="90"/>
      <c r="J339" s="90"/>
      <c r="K339" s="90"/>
      <c r="L339" s="90"/>
      <c r="M339" s="91"/>
      <c r="N339" s="91"/>
      <c r="O339" s="91"/>
      <c r="P339" s="91"/>
      <c r="Q339" s="91"/>
      <c r="R339" s="91"/>
      <c r="S339" s="91"/>
      <c r="T339" s="91"/>
      <c r="U339" s="91"/>
      <c r="V339" s="91"/>
      <c r="W339" s="91"/>
      <c r="X339" s="91"/>
      <c r="Y339" s="91"/>
      <c r="Z339" s="91"/>
    </row>
    <row r="340" ht="24.0" customHeight="1">
      <c r="B340" s="90"/>
      <c r="C340" s="90"/>
      <c r="D340" s="90"/>
      <c r="E340" s="90"/>
      <c r="F340" s="90"/>
      <c r="G340" s="90"/>
      <c r="H340" s="90"/>
      <c r="I340" s="90"/>
      <c r="J340" s="90"/>
      <c r="K340" s="90"/>
      <c r="L340" s="90"/>
      <c r="M340" s="91"/>
      <c r="N340" s="91"/>
      <c r="O340" s="91"/>
      <c r="P340" s="91"/>
      <c r="Q340" s="91"/>
      <c r="R340" s="91"/>
      <c r="S340" s="91"/>
      <c r="T340" s="91"/>
      <c r="U340" s="91"/>
      <c r="V340" s="91"/>
      <c r="W340" s="91"/>
      <c r="X340" s="91"/>
      <c r="Y340" s="91"/>
      <c r="Z340" s="91"/>
    </row>
    <row r="341" ht="24.0" customHeight="1">
      <c r="B341" s="90"/>
      <c r="C341" s="90"/>
      <c r="D341" s="90"/>
      <c r="E341" s="90"/>
      <c r="F341" s="90"/>
      <c r="G341" s="90"/>
      <c r="H341" s="90"/>
      <c r="I341" s="90"/>
      <c r="J341" s="90"/>
      <c r="K341" s="90"/>
      <c r="L341" s="90"/>
      <c r="M341" s="91"/>
      <c r="N341" s="91"/>
      <c r="O341" s="91"/>
      <c r="P341" s="91"/>
      <c r="Q341" s="91"/>
      <c r="R341" s="91"/>
      <c r="S341" s="91"/>
      <c r="T341" s="91"/>
      <c r="U341" s="91"/>
      <c r="V341" s="91"/>
      <c r="W341" s="91"/>
      <c r="X341" s="91"/>
      <c r="Y341" s="91"/>
      <c r="Z341" s="91"/>
    </row>
    <row r="342" ht="24.0" customHeight="1">
      <c r="B342" s="90"/>
      <c r="C342" s="90"/>
      <c r="D342" s="90"/>
      <c r="E342" s="90"/>
      <c r="F342" s="90"/>
      <c r="G342" s="90"/>
      <c r="H342" s="90"/>
      <c r="I342" s="90"/>
      <c r="J342" s="90"/>
      <c r="K342" s="90"/>
      <c r="L342" s="90"/>
      <c r="M342" s="91"/>
      <c r="N342" s="91"/>
      <c r="O342" s="91"/>
      <c r="P342" s="91"/>
      <c r="Q342" s="91"/>
      <c r="R342" s="91"/>
      <c r="S342" s="91"/>
      <c r="T342" s="91"/>
      <c r="U342" s="91"/>
      <c r="V342" s="91"/>
      <c r="W342" s="91"/>
      <c r="X342" s="91"/>
      <c r="Y342" s="91"/>
      <c r="Z342" s="91"/>
    </row>
    <row r="343" ht="24.0" customHeight="1">
      <c r="B343" s="90"/>
      <c r="C343" s="90"/>
      <c r="D343" s="90"/>
      <c r="E343" s="90"/>
      <c r="F343" s="90"/>
      <c r="G343" s="90"/>
      <c r="H343" s="90"/>
      <c r="I343" s="90"/>
      <c r="J343" s="90"/>
      <c r="K343" s="90"/>
      <c r="L343" s="90"/>
      <c r="M343" s="91"/>
      <c r="N343" s="91"/>
      <c r="O343" s="91"/>
      <c r="P343" s="91"/>
      <c r="Q343" s="91"/>
      <c r="R343" s="91"/>
      <c r="S343" s="91"/>
      <c r="T343" s="91"/>
      <c r="U343" s="91"/>
      <c r="V343" s="91"/>
      <c r="W343" s="91"/>
      <c r="X343" s="91"/>
      <c r="Y343" s="91"/>
      <c r="Z343" s="91"/>
    </row>
    <row r="344" ht="24.0" customHeight="1">
      <c r="B344" s="90"/>
      <c r="C344" s="90"/>
      <c r="D344" s="90"/>
      <c r="E344" s="90"/>
      <c r="F344" s="90"/>
      <c r="G344" s="90"/>
      <c r="H344" s="90"/>
      <c r="I344" s="90"/>
      <c r="J344" s="90"/>
      <c r="K344" s="90"/>
      <c r="L344" s="90"/>
      <c r="M344" s="91"/>
      <c r="N344" s="91"/>
      <c r="O344" s="91"/>
      <c r="P344" s="91"/>
      <c r="Q344" s="91"/>
      <c r="R344" s="91"/>
      <c r="S344" s="91"/>
      <c r="T344" s="91"/>
      <c r="U344" s="91"/>
      <c r="V344" s="91"/>
      <c r="W344" s="91"/>
      <c r="X344" s="91"/>
      <c r="Y344" s="91"/>
      <c r="Z344" s="91"/>
    </row>
    <row r="345" ht="24.0" customHeight="1">
      <c r="B345" s="90"/>
      <c r="C345" s="90"/>
      <c r="D345" s="90"/>
      <c r="E345" s="90"/>
      <c r="F345" s="90"/>
      <c r="G345" s="90"/>
      <c r="H345" s="90"/>
      <c r="I345" s="90"/>
      <c r="J345" s="90"/>
      <c r="K345" s="90"/>
      <c r="L345" s="90"/>
      <c r="M345" s="91"/>
      <c r="N345" s="91"/>
      <c r="O345" s="91"/>
      <c r="P345" s="91"/>
      <c r="Q345" s="91"/>
      <c r="R345" s="91"/>
      <c r="S345" s="91"/>
      <c r="T345" s="91"/>
      <c r="U345" s="91"/>
      <c r="V345" s="91"/>
      <c r="W345" s="91"/>
      <c r="X345" s="91"/>
      <c r="Y345" s="91"/>
      <c r="Z345" s="91"/>
    </row>
    <row r="346" ht="24.0" customHeight="1">
      <c r="B346" s="90"/>
      <c r="C346" s="90"/>
      <c r="D346" s="90"/>
      <c r="E346" s="90"/>
      <c r="F346" s="90"/>
      <c r="G346" s="90"/>
      <c r="H346" s="90"/>
      <c r="I346" s="90"/>
      <c r="J346" s="90"/>
      <c r="K346" s="90"/>
      <c r="L346" s="90"/>
      <c r="M346" s="91"/>
      <c r="N346" s="91"/>
      <c r="O346" s="91"/>
      <c r="P346" s="91"/>
      <c r="Q346" s="91"/>
      <c r="R346" s="91"/>
      <c r="S346" s="91"/>
      <c r="T346" s="91"/>
      <c r="U346" s="91"/>
      <c r="V346" s="91"/>
      <c r="W346" s="91"/>
      <c r="X346" s="91"/>
      <c r="Y346" s="91"/>
      <c r="Z346" s="91"/>
    </row>
    <row r="347" ht="24.0" customHeight="1">
      <c r="B347" s="90"/>
      <c r="C347" s="90"/>
      <c r="D347" s="90"/>
      <c r="E347" s="90"/>
      <c r="F347" s="90"/>
      <c r="G347" s="90"/>
      <c r="H347" s="90"/>
      <c r="I347" s="90"/>
      <c r="J347" s="90"/>
      <c r="K347" s="90"/>
      <c r="L347" s="90"/>
      <c r="M347" s="91"/>
      <c r="N347" s="91"/>
      <c r="O347" s="91"/>
      <c r="P347" s="91"/>
      <c r="Q347" s="91"/>
      <c r="R347" s="91"/>
      <c r="S347" s="91"/>
      <c r="T347" s="91"/>
      <c r="U347" s="91"/>
      <c r="V347" s="91"/>
      <c r="W347" s="91"/>
      <c r="X347" s="91"/>
      <c r="Y347" s="91"/>
      <c r="Z347" s="91"/>
    </row>
    <row r="348" ht="24.0" customHeight="1">
      <c r="B348" s="90"/>
      <c r="C348" s="90"/>
      <c r="D348" s="90"/>
      <c r="E348" s="90"/>
      <c r="F348" s="90"/>
      <c r="G348" s="90"/>
      <c r="H348" s="90"/>
      <c r="I348" s="90"/>
      <c r="J348" s="90"/>
      <c r="K348" s="90"/>
      <c r="L348" s="90"/>
      <c r="M348" s="91"/>
      <c r="N348" s="91"/>
      <c r="O348" s="91"/>
      <c r="P348" s="91"/>
      <c r="Q348" s="91"/>
      <c r="R348" s="91"/>
      <c r="S348" s="91"/>
      <c r="T348" s="91"/>
      <c r="U348" s="91"/>
      <c r="V348" s="91"/>
      <c r="W348" s="91"/>
      <c r="X348" s="91"/>
      <c r="Y348" s="91"/>
      <c r="Z348" s="91"/>
    </row>
    <row r="349" ht="24.0" customHeight="1">
      <c r="B349" s="90"/>
      <c r="C349" s="90"/>
      <c r="D349" s="90"/>
      <c r="E349" s="90"/>
      <c r="F349" s="90"/>
      <c r="G349" s="90"/>
      <c r="H349" s="90"/>
      <c r="I349" s="90"/>
      <c r="J349" s="90"/>
      <c r="K349" s="90"/>
      <c r="L349" s="90"/>
      <c r="M349" s="91"/>
      <c r="N349" s="91"/>
      <c r="O349" s="91"/>
      <c r="P349" s="91"/>
      <c r="Q349" s="91"/>
      <c r="R349" s="91"/>
      <c r="S349" s="91"/>
      <c r="T349" s="91"/>
      <c r="U349" s="91"/>
      <c r="V349" s="91"/>
      <c r="W349" s="91"/>
      <c r="X349" s="91"/>
      <c r="Y349" s="91"/>
      <c r="Z349" s="91"/>
    </row>
    <row r="350" ht="24.0" customHeight="1">
      <c r="B350" s="90"/>
      <c r="C350" s="90"/>
      <c r="D350" s="90"/>
      <c r="E350" s="90"/>
      <c r="F350" s="90"/>
      <c r="G350" s="90"/>
      <c r="H350" s="90"/>
      <c r="I350" s="90"/>
      <c r="J350" s="90"/>
      <c r="K350" s="90"/>
      <c r="L350" s="90"/>
      <c r="M350" s="91"/>
      <c r="N350" s="91"/>
      <c r="O350" s="91"/>
      <c r="P350" s="91"/>
      <c r="Q350" s="91"/>
      <c r="R350" s="91"/>
      <c r="S350" s="91"/>
      <c r="T350" s="91"/>
      <c r="U350" s="91"/>
      <c r="V350" s="91"/>
      <c r="W350" s="91"/>
      <c r="X350" s="91"/>
      <c r="Y350" s="91"/>
      <c r="Z350" s="91"/>
    </row>
    <row r="351" ht="24.0" customHeight="1">
      <c r="B351" s="90"/>
      <c r="C351" s="90"/>
      <c r="D351" s="90"/>
      <c r="E351" s="90"/>
      <c r="F351" s="90"/>
      <c r="G351" s="90"/>
      <c r="H351" s="90"/>
      <c r="I351" s="90"/>
      <c r="J351" s="90"/>
      <c r="K351" s="90"/>
      <c r="L351" s="90"/>
      <c r="M351" s="91"/>
      <c r="N351" s="91"/>
      <c r="O351" s="91"/>
      <c r="P351" s="91"/>
      <c r="Q351" s="91"/>
      <c r="R351" s="91"/>
      <c r="S351" s="91"/>
      <c r="T351" s="91"/>
      <c r="U351" s="91"/>
      <c r="V351" s="91"/>
      <c r="W351" s="91"/>
      <c r="X351" s="91"/>
      <c r="Y351" s="91"/>
      <c r="Z351" s="91"/>
    </row>
    <row r="352" ht="24.0" customHeight="1">
      <c r="B352" s="90"/>
      <c r="C352" s="90"/>
      <c r="D352" s="90"/>
      <c r="E352" s="90"/>
      <c r="F352" s="90"/>
      <c r="G352" s="90"/>
      <c r="H352" s="90"/>
      <c r="I352" s="90"/>
      <c r="J352" s="90"/>
      <c r="K352" s="90"/>
      <c r="L352" s="90"/>
      <c r="M352" s="91"/>
      <c r="N352" s="91"/>
      <c r="O352" s="91"/>
      <c r="P352" s="91"/>
      <c r="Q352" s="91"/>
      <c r="R352" s="91"/>
      <c r="S352" s="91"/>
      <c r="T352" s="91"/>
      <c r="U352" s="91"/>
      <c r="V352" s="91"/>
      <c r="W352" s="91"/>
      <c r="X352" s="91"/>
      <c r="Y352" s="91"/>
      <c r="Z352" s="91"/>
    </row>
    <row r="353" ht="24.0" customHeight="1">
      <c r="B353" s="90"/>
      <c r="C353" s="90"/>
      <c r="D353" s="90"/>
      <c r="E353" s="90"/>
      <c r="F353" s="90"/>
      <c r="G353" s="90"/>
      <c r="H353" s="90"/>
      <c r="I353" s="90"/>
      <c r="J353" s="90"/>
      <c r="K353" s="90"/>
      <c r="L353" s="90"/>
      <c r="M353" s="91"/>
      <c r="N353" s="91"/>
      <c r="O353" s="91"/>
      <c r="P353" s="91"/>
      <c r="Q353" s="91"/>
      <c r="R353" s="91"/>
      <c r="S353" s="91"/>
      <c r="T353" s="91"/>
      <c r="U353" s="91"/>
      <c r="V353" s="91"/>
      <c r="W353" s="91"/>
      <c r="X353" s="91"/>
      <c r="Y353" s="91"/>
      <c r="Z353" s="91"/>
    </row>
    <row r="354" ht="24.0" customHeight="1">
      <c r="B354" s="90"/>
      <c r="C354" s="90"/>
      <c r="D354" s="90"/>
      <c r="E354" s="90"/>
      <c r="F354" s="90"/>
      <c r="G354" s="90"/>
      <c r="H354" s="90"/>
      <c r="I354" s="90"/>
      <c r="J354" s="90"/>
      <c r="K354" s="90"/>
      <c r="L354" s="90"/>
      <c r="M354" s="91"/>
      <c r="N354" s="91"/>
      <c r="O354" s="91"/>
      <c r="P354" s="91"/>
      <c r="Q354" s="91"/>
      <c r="R354" s="91"/>
      <c r="S354" s="91"/>
      <c r="T354" s="91"/>
      <c r="U354" s="91"/>
      <c r="V354" s="91"/>
      <c r="W354" s="91"/>
      <c r="X354" s="91"/>
      <c r="Y354" s="91"/>
      <c r="Z354" s="91"/>
    </row>
    <row r="355" ht="24.0" customHeight="1">
      <c r="B355" s="90"/>
      <c r="C355" s="90"/>
      <c r="D355" s="90"/>
      <c r="E355" s="90"/>
      <c r="F355" s="90"/>
      <c r="G355" s="90"/>
      <c r="H355" s="90"/>
      <c r="I355" s="90"/>
      <c r="J355" s="90"/>
      <c r="K355" s="90"/>
      <c r="L355" s="90"/>
      <c r="M355" s="91"/>
      <c r="N355" s="91"/>
      <c r="O355" s="91"/>
      <c r="P355" s="91"/>
      <c r="Q355" s="91"/>
      <c r="R355" s="91"/>
      <c r="S355" s="91"/>
      <c r="T355" s="91"/>
      <c r="U355" s="91"/>
      <c r="V355" s="91"/>
      <c r="W355" s="91"/>
      <c r="X355" s="91"/>
      <c r="Y355" s="91"/>
      <c r="Z355" s="91"/>
    </row>
    <row r="356" ht="24.0" customHeight="1">
      <c r="B356" s="90"/>
      <c r="C356" s="90"/>
      <c r="D356" s="90"/>
      <c r="E356" s="90"/>
      <c r="F356" s="90"/>
      <c r="G356" s="90"/>
      <c r="H356" s="90"/>
      <c r="I356" s="90"/>
      <c r="J356" s="90"/>
      <c r="K356" s="90"/>
      <c r="L356" s="90"/>
      <c r="M356" s="91"/>
      <c r="N356" s="91"/>
      <c r="O356" s="91"/>
      <c r="P356" s="91"/>
      <c r="Q356" s="91"/>
      <c r="R356" s="91"/>
      <c r="S356" s="91"/>
      <c r="T356" s="91"/>
      <c r="U356" s="91"/>
      <c r="V356" s="91"/>
      <c r="W356" s="91"/>
      <c r="X356" s="91"/>
      <c r="Y356" s="91"/>
      <c r="Z356" s="91"/>
    </row>
    <row r="357" ht="24.0" customHeight="1">
      <c r="B357" s="90"/>
      <c r="C357" s="90"/>
      <c r="D357" s="90"/>
      <c r="E357" s="90"/>
      <c r="F357" s="90"/>
      <c r="G357" s="90"/>
      <c r="H357" s="90"/>
      <c r="I357" s="90"/>
      <c r="J357" s="90"/>
      <c r="K357" s="90"/>
      <c r="L357" s="90"/>
      <c r="M357" s="91"/>
      <c r="N357" s="91"/>
      <c r="O357" s="91"/>
      <c r="P357" s="91"/>
      <c r="Q357" s="91"/>
      <c r="R357" s="91"/>
      <c r="S357" s="91"/>
      <c r="T357" s="91"/>
      <c r="U357" s="91"/>
      <c r="V357" s="91"/>
      <c r="W357" s="91"/>
      <c r="X357" s="91"/>
      <c r="Y357" s="91"/>
      <c r="Z357" s="91"/>
    </row>
    <row r="358" ht="24.0" customHeight="1">
      <c r="B358" s="90"/>
      <c r="C358" s="90"/>
      <c r="D358" s="90"/>
      <c r="E358" s="90"/>
      <c r="F358" s="90"/>
      <c r="G358" s="90"/>
      <c r="H358" s="90"/>
      <c r="I358" s="90"/>
      <c r="J358" s="90"/>
      <c r="K358" s="90"/>
      <c r="L358" s="90"/>
      <c r="M358" s="91"/>
      <c r="N358" s="91"/>
      <c r="O358" s="91"/>
      <c r="P358" s="91"/>
      <c r="Q358" s="91"/>
      <c r="R358" s="91"/>
      <c r="S358" s="91"/>
      <c r="T358" s="91"/>
      <c r="U358" s="91"/>
      <c r="V358" s="91"/>
      <c r="W358" s="91"/>
      <c r="X358" s="91"/>
      <c r="Y358" s="91"/>
      <c r="Z358" s="91"/>
    </row>
    <row r="359" ht="24.0" customHeight="1">
      <c r="B359" s="90"/>
      <c r="C359" s="90"/>
      <c r="D359" s="90"/>
      <c r="E359" s="90"/>
      <c r="F359" s="90"/>
      <c r="G359" s="90"/>
      <c r="H359" s="90"/>
      <c r="I359" s="90"/>
      <c r="J359" s="90"/>
      <c r="K359" s="90"/>
      <c r="L359" s="90"/>
      <c r="M359" s="91"/>
      <c r="N359" s="91"/>
      <c r="O359" s="91"/>
      <c r="P359" s="91"/>
      <c r="Q359" s="91"/>
      <c r="R359" s="91"/>
      <c r="S359" s="91"/>
      <c r="T359" s="91"/>
      <c r="U359" s="91"/>
      <c r="V359" s="91"/>
      <c r="W359" s="91"/>
      <c r="X359" s="91"/>
      <c r="Y359" s="91"/>
      <c r="Z359" s="91"/>
    </row>
    <row r="360" ht="24.0" customHeight="1">
      <c r="B360" s="90"/>
      <c r="C360" s="90"/>
      <c r="D360" s="90"/>
      <c r="E360" s="90"/>
      <c r="F360" s="90"/>
      <c r="G360" s="90"/>
      <c r="H360" s="90"/>
      <c r="I360" s="90"/>
      <c r="J360" s="90"/>
      <c r="K360" s="90"/>
      <c r="L360" s="90"/>
      <c r="M360" s="91"/>
      <c r="N360" s="91"/>
      <c r="O360" s="91"/>
      <c r="P360" s="91"/>
      <c r="Q360" s="91"/>
      <c r="R360" s="91"/>
      <c r="S360" s="91"/>
      <c r="T360" s="91"/>
      <c r="U360" s="91"/>
      <c r="V360" s="91"/>
      <c r="W360" s="91"/>
      <c r="X360" s="91"/>
      <c r="Y360" s="91"/>
      <c r="Z360" s="91"/>
    </row>
    <row r="361" ht="24.0" customHeight="1">
      <c r="B361" s="90"/>
      <c r="C361" s="90"/>
      <c r="D361" s="90"/>
      <c r="E361" s="90"/>
      <c r="F361" s="90"/>
      <c r="G361" s="90"/>
      <c r="H361" s="90"/>
      <c r="I361" s="90"/>
      <c r="J361" s="90"/>
      <c r="K361" s="90"/>
      <c r="L361" s="90"/>
      <c r="M361" s="91"/>
      <c r="N361" s="91"/>
      <c r="O361" s="91"/>
      <c r="P361" s="91"/>
      <c r="Q361" s="91"/>
      <c r="R361" s="91"/>
      <c r="S361" s="91"/>
      <c r="T361" s="91"/>
      <c r="U361" s="91"/>
      <c r="V361" s="91"/>
      <c r="W361" s="91"/>
      <c r="X361" s="91"/>
      <c r="Y361" s="91"/>
      <c r="Z361" s="91"/>
    </row>
    <row r="362" ht="24.0" customHeight="1">
      <c r="B362" s="90"/>
      <c r="C362" s="90"/>
      <c r="D362" s="90"/>
      <c r="E362" s="90"/>
      <c r="F362" s="90"/>
      <c r="G362" s="90"/>
      <c r="H362" s="90"/>
      <c r="I362" s="90"/>
      <c r="J362" s="90"/>
      <c r="K362" s="90"/>
      <c r="L362" s="90"/>
      <c r="M362" s="91"/>
      <c r="N362" s="91"/>
      <c r="O362" s="91"/>
      <c r="P362" s="91"/>
      <c r="Q362" s="91"/>
      <c r="R362" s="91"/>
      <c r="S362" s="91"/>
      <c r="T362" s="91"/>
      <c r="U362" s="91"/>
      <c r="V362" s="91"/>
      <c r="W362" s="91"/>
      <c r="X362" s="91"/>
      <c r="Y362" s="91"/>
      <c r="Z362" s="91"/>
    </row>
    <row r="363" ht="24.0" customHeight="1">
      <c r="B363" s="90"/>
      <c r="C363" s="90"/>
      <c r="D363" s="90"/>
      <c r="E363" s="90"/>
      <c r="F363" s="90"/>
      <c r="G363" s="90"/>
      <c r="H363" s="90"/>
      <c r="I363" s="90"/>
      <c r="J363" s="90"/>
      <c r="K363" s="90"/>
      <c r="L363" s="90"/>
      <c r="M363" s="91"/>
      <c r="N363" s="91"/>
      <c r="O363" s="91"/>
      <c r="P363" s="91"/>
      <c r="Q363" s="91"/>
      <c r="R363" s="91"/>
      <c r="S363" s="91"/>
      <c r="T363" s="91"/>
      <c r="U363" s="91"/>
      <c r="V363" s="91"/>
      <c r="W363" s="91"/>
      <c r="X363" s="91"/>
      <c r="Y363" s="91"/>
      <c r="Z363" s="91"/>
    </row>
    <row r="364" ht="24.0" customHeight="1">
      <c r="B364" s="90"/>
      <c r="C364" s="90"/>
      <c r="D364" s="90"/>
      <c r="E364" s="90"/>
      <c r="F364" s="90"/>
      <c r="G364" s="90"/>
      <c r="H364" s="90"/>
      <c r="I364" s="90"/>
      <c r="J364" s="90"/>
      <c r="K364" s="90"/>
      <c r="L364" s="90"/>
      <c r="M364" s="91"/>
      <c r="N364" s="91"/>
      <c r="O364" s="91"/>
      <c r="P364" s="91"/>
      <c r="Q364" s="91"/>
      <c r="R364" s="91"/>
      <c r="S364" s="91"/>
      <c r="T364" s="91"/>
      <c r="U364" s="91"/>
      <c r="V364" s="91"/>
      <c r="W364" s="91"/>
      <c r="X364" s="91"/>
      <c r="Y364" s="91"/>
      <c r="Z364" s="91"/>
    </row>
    <row r="365" ht="24.0" customHeight="1">
      <c r="B365" s="90"/>
      <c r="C365" s="90"/>
      <c r="D365" s="90"/>
      <c r="E365" s="90"/>
      <c r="F365" s="90"/>
      <c r="G365" s="90"/>
      <c r="H365" s="90"/>
      <c r="I365" s="90"/>
      <c r="J365" s="90"/>
      <c r="K365" s="90"/>
      <c r="L365" s="90"/>
      <c r="M365" s="91"/>
      <c r="N365" s="91"/>
      <c r="O365" s="91"/>
      <c r="P365" s="91"/>
      <c r="Q365" s="91"/>
      <c r="R365" s="91"/>
      <c r="S365" s="91"/>
      <c r="T365" s="91"/>
      <c r="U365" s="91"/>
      <c r="V365" s="91"/>
      <c r="W365" s="91"/>
      <c r="X365" s="91"/>
      <c r="Y365" s="91"/>
      <c r="Z365" s="91"/>
    </row>
    <row r="366" ht="24.0" customHeight="1">
      <c r="B366" s="90"/>
      <c r="C366" s="90"/>
      <c r="D366" s="90"/>
      <c r="E366" s="90"/>
      <c r="F366" s="90"/>
      <c r="G366" s="90"/>
      <c r="H366" s="90"/>
      <c r="I366" s="90"/>
      <c r="J366" s="90"/>
      <c r="K366" s="90"/>
      <c r="L366" s="90"/>
      <c r="M366" s="91"/>
      <c r="N366" s="91"/>
      <c r="O366" s="91"/>
      <c r="P366" s="91"/>
      <c r="Q366" s="91"/>
      <c r="R366" s="91"/>
      <c r="S366" s="91"/>
      <c r="T366" s="91"/>
      <c r="U366" s="91"/>
      <c r="V366" s="91"/>
      <c r="W366" s="91"/>
      <c r="X366" s="91"/>
      <c r="Y366" s="91"/>
      <c r="Z366" s="91"/>
    </row>
    <row r="367" ht="24.0" customHeight="1">
      <c r="B367" s="90"/>
      <c r="C367" s="90"/>
      <c r="D367" s="90"/>
      <c r="E367" s="90"/>
      <c r="F367" s="90"/>
      <c r="G367" s="90"/>
      <c r="H367" s="90"/>
      <c r="I367" s="90"/>
      <c r="J367" s="90"/>
      <c r="K367" s="90"/>
      <c r="L367" s="90"/>
      <c r="M367" s="91"/>
      <c r="N367" s="91"/>
      <c r="O367" s="91"/>
      <c r="P367" s="91"/>
      <c r="Q367" s="91"/>
      <c r="R367" s="91"/>
      <c r="S367" s="91"/>
      <c r="T367" s="91"/>
      <c r="U367" s="91"/>
      <c r="V367" s="91"/>
      <c r="W367" s="91"/>
      <c r="X367" s="91"/>
      <c r="Y367" s="91"/>
      <c r="Z367" s="91"/>
    </row>
    <row r="368" ht="24.0" customHeight="1">
      <c r="B368" s="90"/>
      <c r="C368" s="90"/>
      <c r="D368" s="90"/>
      <c r="E368" s="90"/>
      <c r="F368" s="90"/>
      <c r="G368" s="90"/>
      <c r="H368" s="90"/>
      <c r="I368" s="90"/>
      <c r="J368" s="90"/>
      <c r="K368" s="90"/>
      <c r="L368" s="90"/>
      <c r="M368" s="91"/>
      <c r="N368" s="91"/>
      <c r="O368" s="91"/>
      <c r="P368" s="91"/>
      <c r="Q368" s="91"/>
      <c r="R368" s="91"/>
      <c r="S368" s="91"/>
      <c r="T368" s="91"/>
      <c r="U368" s="91"/>
      <c r="V368" s="91"/>
      <c r="W368" s="91"/>
      <c r="X368" s="91"/>
      <c r="Y368" s="91"/>
      <c r="Z368" s="91"/>
    </row>
    <row r="369" ht="24.0" customHeight="1">
      <c r="B369" s="90"/>
      <c r="C369" s="90"/>
      <c r="D369" s="90"/>
      <c r="E369" s="90"/>
      <c r="F369" s="90"/>
      <c r="G369" s="90"/>
      <c r="H369" s="90"/>
      <c r="I369" s="90"/>
      <c r="J369" s="90"/>
      <c r="K369" s="90"/>
      <c r="L369" s="90"/>
      <c r="M369" s="91"/>
      <c r="N369" s="91"/>
      <c r="O369" s="91"/>
      <c r="P369" s="91"/>
      <c r="Q369" s="91"/>
      <c r="R369" s="91"/>
      <c r="S369" s="91"/>
      <c r="T369" s="91"/>
      <c r="U369" s="91"/>
      <c r="V369" s="91"/>
      <c r="W369" s="91"/>
      <c r="X369" s="91"/>
      <c r="Y369" s="91"/>
      <c r="Z369" s="91"/>
    </row>
    <row r="370" ht="24.0" customHeight="1">
      <c r="B370" s="90"/>
      <c r="C370" s="90"/>
      <c r="D370" s="90"/>
      <c r="E370" s="90"/>
      <c r="F370" s="90"/>
      <c r="G370" s="90"/>
      <c r="H370" s="90"/>
      <c r="I370" s="90"/>
      <c r="J370" s="90"/>
      <c r="K370" s="90"/>
      <c r="L370" s="90"/>
      <c r="M370" s="91"/>
      <c r="N370" s="91"/>
      <c r="O370" s="91"/>
      <c r="P370" s="91"/>
      <c r="Q370" s="91"/>
      <c r="R370" s="91"/>
      <c r="S370" s="91"/>
      <c r="T370" s="91"/>
      <c r="U370" s="91"/>
      <c r="V370" s="91"/>
      <c r="W370" s="91"/>
      <c r="X370" s="91"/>
      <c r="Y370" s="91"/>
      <c r="Z370" s="91"/>
    </row>
    <row r="371" ht="24.0" customHeight="1">
      <c r="B371" s="90"/>
      <c r="C371" s="90"/>
      <c r="D371" s="90"/>
      <c r="E371" s="90"/>
      <c r="F371" s="90"/>
      <c r="G371" s="90"/>
      <c r="H371" s="90"/>
      <c r="I371" s="90"/>
      <c r="J371" s="90"/>
      <c r="K371" s="90"/>
      <c r="L371" s="90"/>
      <c r="M371" s="91"/>
      <c r="N371" s="91"/>
      <c r="O371" s="91"/>
      <c r="P371" s="91"/>
      <c r="Q371" s="91"/>
      <c r="R371" s="91"/>
      <c r="S371" s="91"/>
      <c r="T371" s="91"/>
      <c r="U371" s="91"/>
      <c r="V371" s="91"/>
      <c r="W371" s="91"/>
      <c r="X371" s="91"/>
      <c r="Y371" s="91"/>
      <c r="Z371" s="91"/>
    </row>
    <row r="372" ht="24.0" customHeight="1">
      <c r="B372" s="90"/>
      <c r="C372" s="90"/>
      <c r="D372" s="90"/>
      <c r="E372" s="90"/>
      <c r="F372" s="90"/>
      <c r="G372" s="90"/>
      <c r="H372" s="90"/>
      <c r="I372" s="90"/>
      <c r="J372" s="90"/>
      <c r="K372" s="90"/>
      <c r="L372" s="90"/>
      <c r="M372" s="91"/>
      <c r="N372" s="91"/>
      <c r="O372" s="91"/>
      <c r="P372" s="91"/>
      <c r="Q372" s="91"/>
      <c r="R372" s="91"/>
      <c r="S372" s="91"/>
      <c r="T372" s="91"/>
      <c r="U372" s="91"/>
      <c r="V372" s="91"/>
      <c r="W372" s="91"/>
      <c r="X372" s="91"/>
      <c r="Y372" s="91"/>
      <c r="Z372" s="91"/>
    </row>
    <row r="373" ht="24.0" customHeight="1">
      <c r="B373" s="90"/>
      <c r="C373" s="90"/>
      <c r="D373" s="90"/>
      <c r="E373" s="90"/>
      <c r="F373" s="90"/>
      <c r="G373" s="90"/>
      <c r="H373" s="90"/>
      <c r="I373" s="90"/>
      <c r="J373" s="90"/>
      <c r="K373" s="90"/>
      <c r="L373" s="90"/>
      <c r="M373" s="91"/>
      <c r="N373" s="91"/>
      <c r="O373" s="91"/>
      <c r="P373" s="91"/>
      <c r="Q373" s="91"/>
      <c r="R373" s="91"/>
      <c r="S373" s="91"/>
      <c r="T373" s="91"/>
      <c r="U373" s="91"/>
      <c r="V373" s="91"/>
      <c r="W373" s="91"/>
      <c r="X373" s="91"/>
      <c r="Y373" s="91"/>
      <c r="Z373" s="91"/>
    </row>
    <row r="374" ht="24.0" customHeight="1">
      <c r="B374" s="90"/>
      <c r="C374" s="90"/>
      <c r="D374" s="90"/>
      <c r="E374" s="90"/>
      <c r="F374" s="90"/>
      <c r="G374" s="90"/>
      <c r="H374" s="90"/>
      <c r="I374" s="90"/>
      <c r="J374" s="90"/>
      <c r="K374" s="90"/>
      <c r="L374" s="90"/>
      <c r="M374" s="91"/>
      <c r="N374" s="91"/>
      <c r="O374" s="91"/>
      <c r="P374" s="91"/>
      <c r="Q374" s="91"/>
      <c r="R374" s="91"/>
      <c r="S374" s="91"/>
      <c r="T374" s="91"/>
      <c r="U374" s="91"/>
      <c r="V374" s="91"/>
      <c r="W374" s="91"/>
      <c r="X374" s="91"/>
      <c r="Y374" s="91"/>
      <c r="Z374" s="91"/>
    </row>
    <row r="375" ht="24.0" customHeight="1">
      <c r="B375" s="90"/>
      <c r="C375" s="90"/>
      <c r="D375" s="90"/>
      <c r="E375" s="90"/>
      <c r="F375" s="90"/>
      <c r="G375" s="90"/>
      <c r="H375" s="90"/>
      <c r="I375" s="90"/>
      <c r="J375" s="90"/>
      <c r="K375" s="90"/>
      <c r="L375" s="90"/>
      <c r="M375" s="91"/>
      <c r="N375" s="91"/>
      <c r="O375" s="91"/>
      <c r="P375" s="91"/>
      <c r="Q375" s="91"/>
      <c r="R375" s="91"/>
      <c r="S375" s="91"/>
      <c r="T375" s="91"/>
      <c r="U375" s="91"/>
      <c r="V375" s="91"/>
      <c r="W375" s="91"/>
      <c r="X375" s="91"/>
      <c r="Y375" s="91"/>
      <c r="Z375" s="91"/>
    </row>
    <row r="376" ht="24.0" customHeight="1">
      <c r="B376" s="90"/>
      <c r="C376" s="90"/>
      <c r="D376" s="90"/>
      <c r="E376" s="90"/>
      <c r="F376" s="90"/>
      <c r="G376" s="90"/>
      <c r="H376" s="90"/>
      <c r="I376" s="90"/>
      <c r="J376" s="90"/>
      <c r="K376" s="90"/>
      <c r="L376" s="90"/>
      <c r="M376" s="91"/>
      <c r="N376" s="91"/>
      <c r="O376" s="91"/>
      <c r="P376" s="91"/>
      <c r="Q376" s="91"/>
      <c r="R376" s="91"/>
      <c r="S376" s="91"/>
      <c r="T376" s="91"/>
      <c r="U376" s="91"/>
      <c r="V376" s="91"/>
      <c r="W376" s="91"/>
      <c r="X376" s="91"/>
      <c r="Y376" s="91"/>
      <c r="Z376" s="91"/>
    </row>
    <row r="377" ht="24.0" customHeight="1">
      <c r="B377" s="90"/>
      <c r="C377" s="90"/>
      <c r="D377" s="90"/>
      <c r="E377" s="90"/>
      <c r="F377" s="90"/>
      <c r="G377" s="90"/>
      <c r="H377" s="90"/>
      <c r="I377" s="90"/>
      <c r="J377" s="90"/>
      <c r="K377" s="90"/>
      <c r="L377" s="90"/>
      <c r="M377" s="91"/>
      <c r="N377" s="91"/>
      <c r="O377" s="91"/>
      <c r="P377" s="91"/>
      <c r="Q377" s="91"/>
      <c r="R377" s="91"/>
      <c r="S377" s="91"/>
      <c r="T377" s="91"/>
      <c r="U377" s="91"/>
      <c r="V377" s="91"/>
      <c r="W377" s="91"/>
      <c r="X377" s="91"/>
      <c r="Y377" s="91"/>
      <c r="Z377" s="91"/>
    </row>
    <row r="378" ht="24.0" customHeight="1">
      <c r="B378" s="90"/>
      <c r="C378" s="90"/>
      <c r="D378" s="90"/>
      <c r="E378" s="90"/>
      <c r="F378" s="90"/>
      <c r="G378" s="90"/>
      <c r="H378" s="90"/>
      <c r="I378" s="90"/>
      <c r="J378" s="90"/>
      <c r="K378" s="90"/>
      <c r="L378" s="90"/>
      <c r="M378" s="91"/>
      <c r="N378" s="91"/>
      <c r="O378" s="91"/>
      <c r="P378" s="91"/>
      <c r="Q378" s="91"/>
      <c r="R378" s="91"/>
      <c r="S378" s="91"/>
      <c r="T378" s="91"/>
      <c r="U378" s="91"/>
      <c r="V378" s="91"/>
      <c r="W378" s="91"/>
      <c r="X378" s="91"/>
      <c r="Y378" s="91"/>
      <c r="Z378" s="91"/>
    </row>
    <row r="379" ht="24.0" customHeight="1">
      <c r="B379" s="90"/>
      <c r="C379" s="90"/>
      <c r="D379" s="90"/>
      <c r="E379" s="90"/>
      <c r="F379" s="90"/>
      <c r="G379" s="90"/>
      <c r="H379" s="90"/>
      <c r="I379" s="90"/>
      <c r="J379" s="90"/>
      <c r="K379" s="90"/>
      <c r="L379" s="90"/>
      <c r="M379" s="91"/>
      <c r="N379" s="91"/>
      <c r="O379" s="91"/>
      <c r="P379" s="91"/>
      <c r="Q379" s="91"/>
      <c r="R379" s="91"/>
      <c r="S379" s="91"/>
      <c r="T379" s="91"/>
      <c r="U379" s="91"/>
      <c r="V379" s="91"/>
      <c r="W379" s="91"/>
      <c r="X379" s="91"/>
      <c r="Y379" s="91"/>
      <c r="Z379" s="91"/>
    </row>
    <row r="380" ht="24.0" customHeight="1">
      <c r="B380" s="90"/>
      <c r="C380" s="90"/>
      <c r="D380" s="90"/>
      <c r="E380" s="90"/>
      <c r="F380" s="90"/>
      <c r="G380" s="90"/>
      <c r="H380" s="90"/>
      <c r="I380" s="90"/>
      <c r="J380" s="90"/>
      <c r="K380" s="90"/>
      <c r="L380" s="90"/>
      <c r="M380" s="91"/>
      <c r="N380" s="91"/>
      <c r="O380" s="91"/>
      <c r="P380" s="91"/>
      <c r="Q380" s="91"/>
      <c r="R380" s="91"/>
      <c r="S380" s="91"/>
      <c r="T380" s="91"/>
      <c r="U380" s="91"/>
      <c r="V380" s="91"/>
      <c r="W380" s="91"/>
      <c r="X380" s="91"/>
      <c r="Y380" s="91"/>
      <c r="Z380" s="91"/>
    </row>
    <row r="381" ht="24.0" customHeight="1">
      <c r="B381" s="90"/>
      <c r="C381" s="90"/>
      <c r="D381" s="90"/>
      <c r="E381" s="90"/>
      <c r="F381" s="90"/>
      <c r="G381" s="90"/>
      <c r="H381" s="90"/>
      <c r="I381" s="90"/>
      <c r="J381" s="90"/>
      <c r="K381" s="90"/>
      <c r="L381" s="90"/>
      <c r="M381" s="91"/>
      <c r="N381" s="91"/>
      <c r="O381" s="91"/>
      <c r="P381" s="91"/>
      <c r="Q381" s="91"/>
      <c r="R381" s="91"/>
      <c r="S381" s="91"/>
      <c r="T381" s="91"/>
      <c r="U381" s="91"/>
      <c r="V381" s="91"/>
      <c r="W381" s="91"/>
      <c r="X381" s="91"/>
      <c r="Y381" s="91"/>
      <c r="Z381" s="91"/>
    </row>
    <row r="382" ht="24.0" customHeight="1">
      <c r="B382" s="90"/>
      <c r="C382" s="90"/>
      <c r="D382" s="90"/>
      <c r="E382" s="90"/>
      <c r="F382" s="90"/>
      <c r="G382" s="90"/>
      <c r="H382" s="90"/>
      <c r="I382" s="90"/>
      <c r="J382" s="90"/>
      <c r="K382" s="90"/>
      <c r="L382" s="90"/>
      <c r="M382" s="91"/>
      <c r="N382" s="91"/>
      <c r="O382" s="91"/>
      <c r="P382" s="91"/>
      <c r="Q382" s="91"/>
      <c r="R382" s="91"/>
      <c r="S382" s="91"/>
      <c r="T382" s="91"/>
      <c r="U382" s="91"/>
      <c r="V382" s="91"/>
      <c r="W382" s="91"/>
      <c r="X382" s="91"/>
      <c r="Y382" s="91"/>
      <c r="Z382" s="91"/>
    </row>
    <row r="383" ht="24.0" customHeight="1">
      <c r="B383" s="90"/>
      <c r="C383" s="90"/>
      <c r="D383" s="90"/>
      <c r="E383" s="90"/>
      <c r="F383" s="90"/>
      <c r="G383" s="90"/>
      <c r="H383" s="90"/>
      <c r="I383" s="90"/>
      <c r="J383" s="90"/>
      <c r="K383" s="90"/>
      <c r="L383" s="90"/>
      <c r="M383" s="91"/>
      <c r="N383" s="91"/>
      <c r="O383" s="91"/>
      <c r="P383" s="91"/>
      <c r="Q383" s="91"/>
      <c r="R383" s="91"/>
      <c r="S383" s="91"/>
      <c r="T383" s="91"/>
      <c r="U383" s="91"/>
      <c r="V383" s="91"/>
      <c r="W383" s="91"/>
      <c r="X383" s="91"/>
      <c r="Y383" s="91"/>
      <c r="Z383" s="91"/>
    </row>
    <row r="384" ht="24.0" customHeight="1">
      <c r="B384" s="90"/>
      <c r="C384" s="90"/>
      <c r="D384" s="90"/>
      <c r="E384" s="90"/>
      <c r="F384" s="90"/>
      <c r="G384" s="90"/>
      <c r="H384" s="90"/>
      <c r="I384" s="90"/>
      <c r="J384" s="90"/>
      <c r="K384" s="90"/>
      <c r="L384" s="90"/>
      <c r="M384" s="91"/>
      <c r="N384" s="91"/>
      <c r="O384" s="91"/>
      <c r="P384" s="91"/>
      <c r="Q384" s="91"/>
      <c r="R384" s="91"/>
      <c r="S384" s="91"/>
      <c r="T384" s="91"/>
      <c r="U384" s="91"/>
      <c r="V384" s="91"/>
      <c r="W384" s="91"/>
      <c r="X384" s="91"/>
      <c r="Y384" s="91"/>
      <c r="Z384" s="91"/>
    </row>
    <row r="385" ht="24.0" customHeight="1">
      <c r="B385" s="90"/>
      <c r="C385" s="90"/>
      <c r="D385" s="90"/>
      <c r="E385" s="90"/>
      <c r="F385" s="90"/>
      <c r="G385" s="90"/>
      <c r="H385" s="90"/>
      <c r="I385" s="90"/>
      <c r="J385" s="90"/>
      <c r="K385" s="90"/>
      <c r="L385" s="90"/>
      <c r="M385" s="91"/>
      <c r="N385" s="91"/>
      <c r="O385" s="91"/>
      <c r="P385" s="91"/>
      <c r="Q385" s="91"/>
      <c r="R385" s="91"/>
      <c r="S385" s="91"/>
      <c r="T385" s="91"/>
      <c r="U385" s="91"/>
      <c r="V385" s="91"/>
      <c r="W385" s="91"/>
      <c r="X385" s="91"/>
      <c r="Y385" s="91"/>
      <c r="Z385" s="91"/>
    </row>
    <row r="386" ht="24.0" customHeight="1">
      <c r="B386" s="90"/>
      <c r="C386" s="90"/>
      <c r="D386" s="90"/>
      <c r="E386" s="90"/>
      <c r="F386" s="90"/>
      <c r="G386" s="90"/>
      <c r="H386" s="90"/>
      <c r="I386" s="90"/>
      <c r="J386" s="90"/>
      <c r="K386" s="90"/>
      <c r="L386" s="90"/>
      <c r="M386" s="91"/>
      <c r="N386" s="91"/>
      <c r="O386" s="91"/>
      <c r="P386" s="91"/>
      <c r="Q386" s="91"/>
      <c r="R386" s="91"/>
      <c r="S386" s="91"/>
      <c r="T386" s="91"/>
      <c r="U386" s="91"/>
      <c r="V386" s="91"/>
      <c r="W386" s="91"/>
      <c r="X386" s="91"/>
      <c r="Y386" s="91"/>
      <c r="Z386" s="91"/>
    </row>
    <row r="387" ht="24.0" customHeight="1">
      <c r="B387" s="90"/>
      <c r="C387" s="90"/>
      <c r="D387" s="90"/>
      <c r="E387" s="90"/>
      <c r="F387" s="90"/>
      <c r="G387" s="90"/>
      <c r="H387" s="90"/>
      <c r="I387" s="90"/>
      <c r="J387" s="90"/>
      <c r="K387" s="90"/>
      <c r="L387" s="90"/>
      <c r="M387" s="91"/>
      <c r="N387" s="91"/>
      <c r="O387" s="91"/>
      <c r="P387" s="91"/>
      <c r="Q387" s="91"/>
      <c r="R387" s="91"/>
      <c r="S387" s="91"/>
      <c r="T387" s="91"/>
      <c r="U387" s="91"/>
      <c r="V387" s="91"/>
      <c r="W387" s="91"/>
      <c r="X387" s="91"/>
      <c r="Y387" s="91"/>
      <c r="Z387" s="91"/>
    </row>
    <row r="388" ht="24.0" customHeight="1">
      <c r="B388" s="90"/>
      <c r="C388" s="90"/>
      <c r="D388" s="90"/>
      <c r="E388" s="90"/>
      <c r="F388" s="90"/>
      <c r="G388" s="90"/>
      <c r="H388" s="90"/>
      <c r="I388" s="90"/>
      <c r="J388" s="90"/>
      <c r="K388" s="90"/>
      <c r="L388" s="90"/>
      <c r="M388" s="91"/>
      <c r="N388" s="91"/>
      <c r="O388" s="91"/>
      <c r="P388" s="91"/>
      <c r="Q388" s="91"/>
      <c r="R388" s="91"/>
      <c r="S388" s="91"/>
      <c r="T388" s="91"/>
      <c r="U388" s="91"/>
      <c r="V388" s="91"/>
      <c r="W388" s="91"/>
      <c r="X388" s="91"/>
      <c r="Y388" s="91"/>
      <c r="Z388" s="91"/>
    </row>
    <row r="389" ht="24.0" customHeight="1">
      <c r="B389" s="90"/>
      <c r="C389" s="90"/>
      <c r="D389" s="90"/>
      <c r="E389" s="90"/>
      <c r="F389" s="90"/>
      <c r="G389" s="90"/>
      <c r="H389" s="90"/>
      <c r="I389" s="90"/>
      <c r="J389" s="90"/>
      <c r="K389" s="90"/>
      <c r="L389" s="90"/>
      <c r="M389" s="91"/>
      <c r="N389" s="91"/>
      <c r="O389" s="91"/>
      <c r="P389" s="91"/>
      <c r="Q389" s="91"/>
      <c r="R389" s="91"/>
      <c r="S389" s="91"/>
      <c r="T389" s="91"/>
      <c r="U389" s="91"/>
      <c r="V389" s="91"/>
      <c r="W389" s="91"/>
      <c r="X389" s="91"/>
      <c r="Y389" s="91"/>
      <c r="Z389" s="91"/>
    </row>
    <row r="390" ht="24.0" customHeight="1">
      <c r="B390" s="90"/>
      <c r="C390" s="90"/>
      <c r="D390" s="90"/>
      <c r="E390" s="90"/>
      <c r="F390" s="90"/>
      <c r="G390" s="90"/>
      <c r="H390" s="90"/>
      <c r="I390" s="90"/>
      <c r="J390" s="90"/>
      <c r="K390" s="90"/>
      <c r="L390" s="90"/>
      <c r="M390" s="91"/>
      <c r="N390" s="91"/>
      <c r="O390" s="91"/>
      <c r="P390" s="91"/>
      <c r="Q390" s="91"/>
      <c r="R390" s="91"/>
      <c r="S390" s="91"/>
      <c r="T390" s="91"/>
      <c r="U390" s="91"/>
      <c r="V390" s="91"/>
      <c r="W390" s="91"/>
      <c r="X390" s="91"/>
      <c r="Y390" s="91"/>
      <c r="Z390" s="91"/>
    </row>
    <row r="391" ht="24.0" customHeight="1">
      <c r="B391" s="90"/>
      <c r="C391" s="90"/>
      <c r="D391" s="90"/>
      <c r="E391" s="90"/>
      <c r="F391" s="90"/>
      <c r="G391" s="90"/>
      <c r="H391" s="90"/>
      <c r="I391" s="90"/>
      <c r="J391" s="90"/>
      <c r="K391" s="90"/>
      <c r="L391" s="90"/>
      <c r="M391" s="91"/>
      <c r="N391" s="91"/>
      <c r="O391" s="91"/>
      <c r="P391" s="91"/>
      <c r="Q391" s="91"/>
      <c r="R391" s="91"/>
      <c r="S391" s="91"/>
      <c r="T391" s="91"/>
      <c r="U391" s="91"/>
      <c r="V391" s="91"/>
      <c r="W391" s="91"/>
      <c r="X391" s="91"/>
      <c r="Y391" s="91"/>
      <c r="Z391" s="91"/>
    </row>
    <row r="392" ht="24.0" customHeight="1">
      <c r="B392" s="90"/>
      <c r="C392" s="90"/>
      <c r="D392" s="90"/>
      <c r="E392" s="90"/>
      <c r="F392" s="90"/>
      <c r="G392" s="90"/>
      <c r="H392" s="90"/>
      <c r="I392" s="90"/>
      <c r="J392" s="90"/>
      <c r="K392" s="90"/>
      <c r="L392" s="90"/>
      <c r="M392" s="91"/>
      <c r="N392" s="91"/>
      <c r="O392" s="91"/>
      <c r="P392" s="91"/>
      <c r="Q392" s="91"/>
      <c r="R392" s="91"/>
      <c r="S392" s="91"/>
      <c r="T392" s="91"/>
      <c r="U392" s="91"/>
      <c r="V392" s="91"/>
      <c r="W392" s="91"/>
      <c r="X392" s="91"/>
      <c r="Y392" s="91"/>
      <c r="Z392" s="91"/>
    </row>
    <row r="393" ht="24.0" customHeight="1">
      <c r="B393" s="90"/>
      <c r="C393" s="90"/>
      <c r="D393" s="90"/>
      <c r="E393" s="90"/>
      <c r="F393" s="90"/>
      <c r="G393" s="90"/>
      <c r="H393" s="90"/>
      <c r="I393" s="90"/>
      <c r="J393" s="90"/>
      <c r="K393" s="90"/>
      <c r="L393" s="90"/>
      <c r="M393" s="91"/>
      <c r="N393" s="91"/>
      <c r="O393" s="91"/>
      <c r="P393" s="91"/>
      <c r="Q393" s="91"/>
      <c r="R393" s="91"/>
      <c r="S393" s="91"/>
      <c r="T393" s="91"/>
      <c r="U393" s="91"/>
      <c r="V393" s="91"/>
      <c r="W393" s="91"/>
      <c r="X393" s="91"/>
      <c r="Y393" s="91"/>
      <c r="Z393" s="91"/>
    </row>
    <row r="394" ht="24.0" customHeight="1">
      <c r="B394" s="90"/>
      <c r="C394" s="90"/>
      <c r="D394" s="90"/>
      <c r="E394" s="90"/>
      <c r="F394" s="90"/>
      <c r="G394" s="90"/>
      <c r="H394" s="90"/>
      <c r="I394" s="90"/>
      <c r="J394" s="90"/>
      <c r="K394" s="90"/>
      <c r="L394" s="90"/>
      <c r="M394" s="91"/>
      <c r="N394" s="91"/>
      <c r="O394" s="91"/>
      <c r="P394" s="91"/>
      <c r="Q394" s="91"/>
      <c r="R394" s="91"/>
      <c r="S394" s="91"/>
      <c r="T394" s="91"/>
      <c r="U394" s="91"/>
      <c r="V394" s="91"/>
      <c r="W394" s="91"/>
      <c r="X394" s="91"/>
      <c r="Y394" s="91"/>
      <c r="Z394" s="91"/>
    </row>
    <row r="395" ht="24.0" customHeight="1">
      <c r="B395" s="90"/>
      <c r="C395" s="90"/>
      <c r="D395" s="90"/>
      <c r="E395" s="90"/>
      <c r="F395" s="90"/>
      <c r="G395" s="90"/>
      <c r="H395" s="90"/>
      <c r="I395" s="90"/>
      <c r="J395" s="90"/>
      <c r="K395" s="90"/>
      <c r="L395" s="90"/>
      <c r="M395" s="91"/>
      <c r="N395" s="91"/>
      <c r="O395" s="91"/>
      <c r="P395" s="91"/>
      <c r="Q395" s="91"/>
      <c r="R395" s="91"/>
      <c r="S395" s="91"/>
      <c r="T395" s="91"/>
      <c r="U395" s="91"/>
      <c r="V395" s="91"/>
      <c r="W395" s="91"/>
      <c r="X395" s="91"/>
      <c r="Y395" s="91"/>
      <c r="Z395" s="91"/>
    </row>
    <row r="396" ht="24.0" customHeight="1">
      <c r="B396" s="90"/>
      <c r="C396" s="90"/>
      <c r="D396" s="90"/>
      <c r="E396" s="90"/>
      <c r="F396" s="90"/>
      <c r="G396" s="90"/>
      <c r="H396" s="90"/>
      <c r="I396" s="90"/>
      <c r="J396" s="90"/>
      <c r="K396" s="90"/>
      <c r="L396" s="90"/>
      <c r="M396" s="91"/>
      <c r="N396" s="91"/>
      <c r="O396" s="91"/>
      <c r="P396" s="91"/>
      <c r="Q396" s="91"/>
      <c r="R396" s="91"/>
      <c r="S396" s="91"/>
      <c r="T396" s="91"/>
      <c r="U396" s="91"/>
      <c r="V396" s="91"/>
      <c r="W396" s="91"/>
      <c r="X396" s="91"/>
      <c r="Y396" s="91"/>
      <c r="Z396" s="91"/>
    </row>
    <row r="397" ht="24.0" customHeight="1">
      <c r="B397" s="90"/>
      <c r="C397" s="90"/>
      <c r="D397" s="90"/>
      <c r="E397" s="90"/>
      <c r="F397" s="90"/>
      <c r="G397" s="90"/>
      <c r="H397" s="90"/>
      <c r="I397" s="90"/>
      <c r="J397" s="90"/>
      <c r="K397" s="90"/>
      <c r="L397" s="90"/>
      <c r="M397" s="91"/>
      <c r="N397" s="91"/>
      <c r="O397" s="91"/>
      <c r="P397" s="91"/>
      <c r="Q397" s="91"/>
      <c r="R397" s="91"/>
      <c r="S397" s="91"/>
      <c r="T397" s="91"/>
      <c r="U397" s="91"/>
      <c r="V397" s="91"/>
      <c r="W397" s="91"/>
      <c r="X397" s="91"/>
      <c r="Y397" s="91"/>
      <c r="Z397" s="91"/>
    </row>
    <row r="398" ht="24.0" customHeight="1">
      <c r="B398" s="90"/>
      <c r="C398" s="90"/>
      <c r="D398" s="90"/>
      <c r="E398" s="90"/>
      <c r="F398" s="90"/>
      <c r="G398" s="90"/>
      <c r="H398" s="90"/>
      <c r="I398" s="90"/>
      <c r="J398" s="90"/>
      <c r="K398" s="90"/>
      <c r="L398" s="90"/>
      <c r="M398" s="91"/>
      <c r="N398" s="91"/>
      <c r="O398" s="91"/>
      <c r="P398" s="91"/>
      <c r="Q398" s="91"/>
      <c r="R398" s="91"/>
      <c r="S398" s="91"/>
      <c r="T398" s="91"/>
      <c r="U398" s="91"/>
      <c r="V398" s="91"/>
      <c r="W398" s="91"/>
      <c r="X398" s="91"/>
      <c r="Y398" s="91"/>
      <c r="Z398" s="91"/>
    </row>
    <row r="399" ht="24.0" customHeight="1">
      <c r="B399" s="90"/>
      <c r="C399" s="90"/>
      <c r="D399" s="90"/>
      <c r="E399" s="90"/>
      <c r="F399" s="90"/>
      <c r="G399" s="90"/>
      <c r="H399" s="90"/>
      <c r="I399" s="90"/>
      <c r="J399" s="90"/>
      <c r="K399" s="90"/>
      <c r="L399" s="90"/>
      <c r="M399" s="91"/>
      <c r="N399" s="91"/>
      <c r="O399" s="91"/>
      <c r="P399" s="91"/>
      <c r="Q399" s="91"/>
      <c r="R399" s="91"/>
      <c r="S399" s="91"/>
      <c r="T399" s="91"/>
      <c r="U399" s="91"/>
      <c r="V399" s="91"/>
      <c r="W399" s="91"/>
      <c r="X399" s="91"/>
      <c r="Y399" s="91"/>
      <c r="Z399" s="91"/>
    </row>
    <row r="400" ht="24.0" customHeight="1">
      <c r="B400" s="90"/>
      <c r="C400" s="90"/>
      <c r="D400" s="90"/>
      <c r="E400" s="90"/>
      <c r="F400" s="90"/>
      <c r="G400" s="90"/>
      <c r="H400" s="90"/>
      <c r="I400" s="90"/>
      <c r="J400" s="90"/>
      <c r="K400" s="90"/>
      <c r="L400" s="90"/>
      <c r="M400" s="91"/>
      <c r="N400" s="91"/>
      <c r="O400" s="91"/>
      <c r="P400" s="91"/>
      <c r="Q400" s="91"/>
      <c r="R400" s="91"/>
      <c r="S400" s="91"/>
      <c r="T400" s="91"/>
      <c r="U400" s="91"/>
      <c r="V400" s="91"/>
      <c r="W400" s="91"/>
      <c r="X400" s="91"/>
      <c r="Y400" s="91"/>
      <c r="Z400" s="91"/>
    </row>
    <row r="401" ht="24.0" customHeight="1">
      <c r="B401" s="90"/>
      <c r="C401" s="90"/>
      <c r="D401" s="90"/>
      <c r="E401" s="90"/>
      <c r="F401" s="90"/>
      <c r="G401" s="90"/>
      <c r="H401" s="90"/>
      <c r="I401" s="90"/>
      <c r="J401" s="90"/>
      <c r="K401" s="90"/>
      <c r="L401" s="90"/>
      <c r="M401" s="91"/>
      <c r="N401" s="91"/>
      <c r="O401" s="91"/>
      <c r="P401" s="91"/>
      <c r="Q401" s="91"/>
      <c r="R401" s="91"/>
      <c r="S401" s="91"/>
      <c r="T401" s="91"/>
      <c r="U401" s="91"/>
      <c r="V401" s="91"/>
      <c r="W401" s="91"/>
      <c r="X401" s="91"/>
      <c r="Y401" s="91"/>
      <c r="Z401" s="91"/>
    </row>
    <row r="402" ht="24.0" customHeight="1">
      <c r="B402" s="90"/>
      <c r="C402" s="90"/>
      <c r="D402" s="90"/>
      <c r="E402" s="90"/>
      <c r="F402" s="90"/>
      <c r="G402" s="90"/>
      <c r="H402" s="90"/>
      <c r="I402" s="90"/>
      <c r="J402" s="90"/>
      <c r="K402" s="90"/>
      <c r="L402" s="90"/>
      <c r="M402" s="91"/>
      <c r="N402" s="91"/>
      <c r="O402" s="91"/>
      <c r="P402" s="91"/>
      <c r="Q402" s="91"/>
      <c r="R402" s="91"/>
      <c r="S402" s="91"/>
      <c r="T402" s="91"/>
      <c r="U402" s="91"/>
      <c r="V402" s="91"/>
      <c r="W402" s="91"/>
      <c r="X402" s="91"/>
      <c r="Y402" s="91"/>
      <c r="Z402" s="91"/>
    </row>
    <row r="403" ht="24.0" customHeight="1">
      <c r="B403" s="90"/>
      <c r="C403" s="90"/>
      <c r="D403" s="90"/>
      <c r="E403" s="90"/>
      <c r="F403" s="90"/>
      <c r="G403" s="90"/>
      <c r="H403" s="90"/>
      <c r="I403" s="90"/>
      <c r="J403" s="90"/>
      <c r="K403" s="90"/>
      <c r="L403" s="90"/>
      <c r="M403" s="91"/>
      <c r="N403" s="91"/>
      <c r="O403" s="91"/>
      <c r="P403" s="91"/>
      <c r="Q403" s="91"/>
      <c r="R403" s="91"/>
      <c r="S403" s="91"/>
      <c r="T403" s="91"/>
      <c r="U403" s="91"/>
      <c r="V403" s="91"/>
      <c r="W403" s="91"/>
      <c r="X403" s="91"/>
      <c r="Y403" s="91"/>
      <c r="Z403" s="91"/>
    </row>
    <row r="404" ht="24.0" customHeight="1">
      <c r="B404" s="90"/>
      <c r="C404" s="90"/>
      <c r="D404" s="90"/>
      <c r="E404" s="90"/>
      <c r="F404" s="90"/>
      <c r="G404" s="90"/>
      <c r="H404" s="90"/>
      <c r="I404" s="90"/>
      <c r="J404" s="90"/>
      <c r="K404" s="90"/>
      <c r="L404" s="90"/>
      <c r="M404" s="91"/>
      <c r="N404" s="91"/>
      <c r="O404" s="91"/>
      <c r="P404" s="91"/>
      <c r="Q404" s="91"/>
      <c r="R404" s="91"/>
      <c r="S404" s="91"/>
      <c r="T404" s="91"/>
      <c r="U404" s="91"/>
      <c r="V404" s="91"/>
      <c r="W404" s="91"/>
      <c r="X404" s="91"/>
      <c r="Y404" s="91"/>
      <c r="Z404" s="91"/>
    </row>
    <row r="405" ht="24.0" customHeight="1">
      <c r="B405" s="90"/>
      <c r="C405" s="90"/>
      <c r="D405" s="90"/>
      <c r="E405" s="90"/>
      <c r="F405" s="90"/>
      <c r="G405" s="90"/>
      <c r="H405" s="90"/>
      <c r="I405" s="90"/>
      <c r="J405" s="90"/>
      <c r="K405" s="90"/>
      <c r="L405" s="90"/>
      <c r="M405" s="91"/>
      <c r="N405" s="91"/>
      <c r="O405" s="91"/>
      <c r="P405" s="91"/>
      <c r="Q405" s="91"/>
      <c r="R405" s="91"/>
      <c r="S405" s="91"/>
      <c r="T405" s="91"/>
      <c r="U405" s="91"/>
      <c r="V405" s="91"/>
      <c r="W405" s="91"/>
      <c r="X405" s="91"/>
      <c r="Y405" s="91"/>
      <c r="Z405" s="91"/>
    </row>
    <row r="406" ht="24.0" customHeight="1">
      <c r="B406" s="90"/>
      <c r="C406" s="90"/>
      <c r="D406" s="90"/>
      <c r="E406" s="90"/>
      <c r="F406" s="90"/>
      <c r="G406" s="90"/>
      <c r="H406" s="90"/>
      <c r="I406" s="90"/>
      <c r="J406" s="90"/>
      <c r="K406" s="90"/>
      <c r="L406" s="90"/>
      <c r="M406" s="91"/>
      <c r="N406" s="91"/>
      <c r="O406" s="91"/>
      <c r="P406" s="91"/>
      <c r="Q406" s="91"/>
      <c r="R406" s="91"/>
      <c r="S406" s="91"/>
      <c r="T406" s="91"/>
      <c r="U406" s="91"/>
      <c r="V406" s="91"/>
      <c r="W406" s="91"/>
      <c r="X406" s="91"/>
      <c r="Y406" s="91"/>
      <c r="Z406" s="91"/>
    </row>
    <row r="407" ht="24.0" customHeight="1">
      <c r="B407" s="90"/>
      <c r="C407" s="90"/>
      <c r="D407" s="90"/>
      <c r="E407" s="90"/>
      <c r="F407" s="90"/>
      <c r="G407" s="90"/>
      <c r="H407" s="90"/>
      <c r="I407" s="90"/>
      <c r="J407" s="90"/>
      <c r="K407" s="90"/>
      <c r="L407" s="90"/>
      <c r="M407" s="91"/>
      <c r="N407" s="91"/>
      <c r="O407" s="91"/>
      <c r="P407" s="91"/>
      <c r="Q407" s="91"/>
      <c r="R407" s="91"/>
      <c r="S407" s="91"/>
      <c r="T407" s="91"/>
      <c r="U407" s="91"/>
      <c r="V407" s="91"/>
      <c r="W407" s="91"/>
      <c r="X407" s="91"/>
      <c r="Y407" s="91"/>
      <c r="Z407" s="91"/>
    </row>
    <row r="408" ht="24.0" customHeight="1">
      <c r="B408" s="90"/>
      <c r="C408" s="90"/>
      <c r="D408" s="90"/>
      <c r="E408" s="90"/>
      <c r="F408" s="90"/>
      <c r="G408" s="90"/>
      <c r="H408" s="90"/>
      <c r="I408" s="90"/>
      <c r="J408" s="90"/>
      <c r="K408" s="90"/>
      <c r="L408" s="90"/>
      <c r="M408" s="91"/>
      <c r="N408" s="91"/>
      <c r="O408" s="91"/>
      <c r="P408" s="91"/>
      <c r="Q408" s="91"/>
      <c r="R408" s="91"/>
      <c r="S408" s="91"/>
      <c r="T408" s="91"/>
      <c r="U408" s="91"/>
      <c r="V408" s="91"/>
      <c r="W408" s="91"/>
      <c r="X408" s="91"/>
      <c r="Y408" s="91"/>
      <c r="Z408" s="91"/>
    </row>
    <row r="409" ht="24.0" customHeight="1">
      <c r="B409" s="90"/>
      <c r="C409" s="90"/>
      <c r="D409" s="90"/>
      <c r="E409" s="90"/>
      <c r="F409" s="90"/>
      <c r="G409" s="90"/>
      <c r="H409" s="90"/>
      <c r="I409" s="90"/>
      <c r="J409" s="90"/>
      <c r="K409" s="90"/>
      <c r="L409" s="90"/>
      <c r="M409" s="91"/>
      <c r="N409" s="91"/>
      <c r="O409" s="91"/>
      <c r="P409" s="91"/>
      <c r="Q409" s="91"/>
      <c r="R409" s="91"/>
      <c r="S409" s="91"/>
      <c r="T409" s="91"/>
      <c r="U409" s="91"/>
      <c r="V409" s="91"/>
      <c r="W409" s="91"/>
      <c r="X409" s="91"/>
      <c r="Y409" s="91"/>
      <c r="Z409" s="91"/>
    </row>
    <row r="410" ht="24.0" customHeight="1">
      <c r="B410" s="90"/>
      <c r="C410" s="90"/>
      <c r="D410" s="90"/>
      <c r="E410" s="90"/>
      <c r="F410" s="90"/>
      <c r="G410" s="90"/>
      <c r="H410" s="90"/>
      <c r="I410" s="90"/>
      <c r="J410" s="90"/>
      <c r="K410" s="90"/>
      <c r="L410" s="90"/>
      <c r="M410" s="91"/>
      <c r="N410" s="91"/>
      <c r="O410" s="91"/>
      <c r="P410" s="91"/>
      <c r="Q410" s="91"/>
      <c r="R410" s="91"/>
      <c r="S410" s="91"/>
      <c r="T410" s="91"/>
      <c r="U410" s="91"/>
      <c r="V410" s="91"/>
      <c r="W410" s="91"/>
      <c r="X410" s="91"/>
      <c r="Y410" s="91"/>
      <c r="Z410" s="91"/>
    </row>
    <row r="411" ht="24.0" customHeight="1">
      <c r="B411" s="90"/>
      <c r="C411" s="90"/>
      <c r="D411" s="90"/>
      <c r="E411" s="90"/>
      <c r="F411" s="90"/>
      <c r="G411" s="90"/>
      <c r="H411" s="90"/>
      <c r="I411" s="90"/>
      <c r="J411" s="90"/>
      <c r="K411" s="90"/>
      <c r="L411" s="90"/>
      <c r="M411" s="91"/>
      <c r="N411" s="91"/>
      <c r="O411" s="91"/>
      <c r="P411" s="91"/>
      <c r="Q411" s="91"/>
      <c r="R411" s="91"/>
      <c r="S411" s="91"/>
      <c r="T411" s="91"/>
      <c r="U411" s="91"/>
      <c r="V411" s="91"/>
      <c r="W411" s="91"/>
      <c r="X411" s="91"/>
      <c r="Y411" s="91"/>
      <c r="Z411" s="91"/>
    </row>
    <row r="412" ht="24.0" customHeight="1">
      <c r="B412" s="90"/>
      <c r="C412" s="90"/>
      <c r="D412" s="90"/>
      <c r="E412" s="90"/>
      <c r="F412" s="90"/>
      <c r="G412" s="90"/>
      <c r="H412" s="90"/>
      <c r="I412" s="90"/>
      <c r="J412" s="90"/>
      <c r="K412" s="90"/>
      <c r="L412" s="90"/>
      <c r="M412" s="91"/>
      <c r="N412" s="91"/>
      <c r="O412" s="91"/>
      <c r="P412" s="91"/>
      <c r="Q412" s="91"/>
      <c r="R412" s="91"/>
      <c r="S412" s="91"/>
      <c r="T412" s="91"/>
      <c r="U412" s="91"/>
      <c r="V412" s="91"/>
      <c r="W412" s="91"/>
      <c r="X412" s="91"/>
      <c r="Y412" s="91"/>
      <c r="Z412" s="91"/>
    </row>
    <row r="413" ht="24.0" customHeight="1">
      <c r="B413" s="90"/>
      <c r="C413" s="90"/>
      <c r="D413" s="90"/>
      <c r="E413" s="90"/>
      <c r="F413" s="90"/>
      <c r="G413" s="90"/>
      <c r="H413" s="90"/>
      <c r="I413" s="90"/>
      <c r="J413" s="90"/>
      <c r="K413" s="90"/>
      <c r="L413" s="90"/>
      <c r="M413" s="91"/>
      <c r="N413" s="91"/>
      <c r="O413" s="91"/>
      <c r="P413" s="91"/>
      <c r="Q413" s="91"/>
      <c r="R413" s="91"/>
      <c r="S413" s="91"/>
      <c r="T413" s="91"/>
      <c r="U413" s="91"/>
      <c r="V413" s="91"/>
      <c r="W413" s="91"/>
      <c r="X413" s="91"/>
      <c r="Y413" s="91"/>
      <c r="Z413" s="91"/>
    </row>
    <row r="414" ht="24.0" customHeight="1">
      <c r="B414" s="90"/>
      <c r="C414" s="90"/>
      <c r="D414" s="90"/>
      <c r="E414" s="90"/>
      <c r="F414" s="90"/>
      <c r="G414" s="90"/>
      <c r="H414" s="90"/>
      <c r="I414" s="90"/>
      <c r="J414" s="90"/>
      <c r="K414" s="90"/>
      <c r="L414" s="90"/>
      <c r="M414" s="91"/>
      <c r="N414" s="91"/>
      <c r="O414" s="91"/>
      <c r="P414" s="91"/>
      <c r="Q414" s="91"/>
      <c r="R414" s="91"/>
      <c r="S414" s="91"/>
      <c r="T414" s="91"/>
      <c r="U414" s="91"/>
      <c r="V414" s="91"/>
      <c r="W414" s="91"/>
      <c r="X414" s="91"/>
      <c r="Y414" s="91"/>
      <c r="Z414" s="91"/>
    </row>
    <row r="415" ht="24.0" customHeight="1">
      <c r="B415" s="90"/>
      <c r="C415" s="90"/>
      <c r="D415" s="90"/>
      <c r="E415" s="90"/>
      <c r="F415" s="90"/>
      <c r="G415" s="90"/>
      <c r="H415" s="90"/>
      <c r="I415" s="90"/>
      <c r="J415" s="90"/>
      <c r="K415" s="90"/>
      <c r="L415" s="90"/>
      <c r="M415" s="91"/>
      <c r="N415" s="91"/>
      <c r="O415" s="91"/>
      <c r="P415" s="91"/>
      <c r="Q415" s="91"/>
      <c r="R415" s="91"/>
      <c r="S415" s="91"/>
      <c r="T415" s="91"/>
      <c r="U415" s="91"/>
      <c r="V415" s="91"/>
      <c r="W415" s="91"/>
      <c r="X415" s="91"/>
      <c r="Y415" s="91"/>
      <c r="Z415" s="91"/>
    </row>
    <row r="416" ht="24.0" customHeight="1">
      <c r="B416" s="90"/>
      <c r="C416" s="90"/>
      <c r="D416" s="90"/>
      <c r="E416" s="90"/>
      <c r="F416" s="90"/>
      <c r="G416" s="90"/>
      <c r="H416" s="90"/>
      <c r="I416" s="90"/>
      <c r="J416" s="90"/>
      <c r="K416" s="90"/>
      <c r="L416" s="90"/>
      <c r="M416" s="91"/>
      <c r="N416" s="91"/>
      <c r="O416" s="91"/>
      <c r="P416" s="91"/>
      <c r="Q416" s="91"/>
      <c r="R416" s="91"/>
      <c r="S416" s="91"/>
      <c r="T416" s="91"/>
      <c r="U416" s="91"/>
      <c r="V416" s="91"/>
      <c r="W416" s="91"/>
      <c r="X416" s="91"/>
      <c r="Y416" s="91"/>
      <c r="Z416" s="91"/>
    </row>
    <row r="417" ht="24.0" customHeight="1">
      <c r="B417" s="90"/>
      <c r="C417" s="90"/>
      <c r="D417" s="90"/>
      <c r="E417" s="90"/>
      <c r="F417" s="90"/>
      <c r="G417" s="90"/>
      <c r="H417" s="90"/>
      <c r="I417" s="90"/>
      <c r="J417" s="90"/>
      <c r="K417" s="90"/>
      <c r="L417" s="90"/>
      <c r="M417" s="91"/>
      <c r="N417" s="91"/>
      <c r="O417" s="91"/>
      <c r="P417" s="91"/>
      <c r="Q417" s="91"/>
      <c r="R417" s="91"/>
      <c r="S417" s="91"/>
      <c r="T417" s="91"/>
      <c r="U417" s="91"/>
      <c r="V417" s="91"/>
      <c r="W417" s="91"/>
      <c r="X417" s="91"/>
      <c r="Y417" s="91"/>
      <c r="Z417" s="91"/>
    </row>
    <row r="418" ht="24.0" customHeight="1">
      <c r="B418" s="90"/>
      <c r="C418" s="90"/>
      <c r="D418" s="90"/>
      <c r="E418" s="90"/>
      <c r="F418" s="90"/>
      <c r="G418" s="90"/>
      <c r="H418" s="90"/>
      <c r="I418" s="90"/>
      <c r="J418" s="90"/>
      <c r="K418" s="90"/>
      <c r="L418" s="90"/>
      <c r="M418" s="91"/>
      <c r="N418" s="91"/>
      <c r="O418" s="91"/>
      <c r="P418" s="91"/>
      <c r="Q418" s="91"/>
      <c r="R418" s="91"/>
      <c r="S418" s="91"/>
      <c r="T418" s="91"/>
      <c r="U418" s="91"/>
      <c r="V418" s="91"/>
      <c r="W418" s="91"/>
      <c r="X418" s="91"/>
      <c r="Y418" s="91"/>
      <c r="Z418" s="91"/>
    </row>
    <row r="419" ht="24.0" customHeight="1">
      <c r="B419" s="90"/>
      <c r="C419" s="90"/>
      <c r="D419" s="90"/>
      <c r="E419" s="90"/>
      <c r="F419" s="90"/>
      <c r="G419" s="90"/>
      <c r="H419" s="90"/>
      <c r="I419" s="90"/>
      <c r="J419" s="90"/>
      <c r="K419" s="90"/>
      <c r="L419" s="90"/>
      <c r="M419" s="91"/>
      <c r="N419" s="91"/>
      <c r="O419" s="91"/>
      <c r="P419" s="91"/>
      <c r="Q419" s="91"/>
      <c r="R419" s="91"/>
      <c r="S419" s="91"/>
      <c r="T419" s="91"/>
      <c r="U419" s="91"/>
      <c r="V419" s="91"/>
      <c r="W419" s="91"/>
      <c r="X419" s="91"/>
      <c r="Y419" s="91"/>
      <c r="Z419" s="91"/>
    </row>
    <row r="420" ht="24.0" customHeight="1">
      <c r="B420" s="90"/>
      <c r="C420" s="90"/>
      <c r="D420" s="90"/>
      <c r="E420" s="90"/>
      <c r="F420" s="90"/>
      <c r="G420" s="90"/>
      <c r="H420" s="90"/>
      <c r="I420" s="90"/>
      <c r="J420" s="90"/>
      <c r="K420" s="90"/>
      <c r="L420" s="90"/>
      <c r="M420" s="91"/>
      <c r="N420" s="91"/>
      <c r="O420" s="91"/>
      <c r="P420" s="91"/>
      <c r="Q420" s="91"/>
      <c r="R420" s="91"/>
      <c r="S420" s="91"/>
      <c r="T420" s="91"/>
      <c r="U420" s="91"/>
      <c r="V420" s="91"/>
      <c r="W420" s="91"/>
      <c r="X420" s="91"/>
      <c r="Y420" s="91"/>
      <c r="Z420" s="91"/>
    </row>
    <row r="421" ht="24.0" customHeight="1">
      <c r="B421" s="90"/>
      <c r="C421" s="90"/>
      <c r="D421" s="90"/>
      <c r="E421" s="90"/>
      <c r="F421" s="90"/>
      <c r="G421" s="90"/>
      <c r="H421" s="90"/>
      <c r="I421" s="90"/>
      <c r="J421" s="90"/>
      <c r="K421" s="90"/>
      <c r="L421" s="90"/>
      <c r="M421" s="91"/>
      <c r="N421" s="91"/>
      <c r="O421" s="91"/>
      <c r="P421" s="91"/>
      <c r="Q421" s="91"/>
      <c r="R421" s="91"/>
      <c r="S421" s="91"/>
      <c r="T421" s="91"/>
      <c r="U421" s="91"/>
      <c r="V421" s="91"/>
      <c r="W421" s="91"/>
      <c r="X421" s="91"/>
      <c r="Y421" s="91"/>
      <c r="Z421" s="91"/>
    </row>
    <row r="422" ht="24.0" customHeight="1">
      <c r="B422" s="90"/>
      <c r="C422" s="90"/>
      <c r="D422" s="90"/>
      <c r="E422" s="90"/>
      <c r="F422" s="90"/>
      <c r="G422" s="90"/>
      <c r="H422" s="90"/>
      <c r="I422" s="90"/>
      <c r="J422" s="90"/>
      <c r="K422" s="90"/>
      <c r="L422" s="90"/>
      <c r="M422" s="91"/>
      <c r="N422" s="91"/>
      <c r="O422" s="91"/>
      <c r="P422" s="91"/>
      <c r="Q422" s="91"/>
      <c r="R422" s="91"/>
      <c r="S422" s="91"/>
      <c r="T422" s="91"/>
      <c r="U422" s="91"/>
      <c r="V422" s="91"/>
      <c r="W422" s="91"/>
      <c r="X422" s="91"/>
      <c r="Y422" s="91"/>
      <c r="Z422" s="91"/>
    </row>
    <row r="423" ht="24.0" customHeight="1">
      <c r="B423" s="90"/>
      <c r="C423" s="90"/>
      <c r="D423" s="90"/>
      <c r="E423" s="90"/>
      <c r="F423" s="90"/>
      <c r="G423" s="90"/>
      <c r="H423" s="90"/>
      <c r="I423" s="90"/>
      <c r="J423" s="90"/>
      <c r="K423" s="90"/>
      <c r="L423" s="90"/>
      <c r="M423" s="91"/>
      <c r="N423" s="91"/>
      <c r="O423" s="91"/>
      <c r="P423" s="91"/>
      <c r="Q423" s="91"/>
      <c r="R423" s="91"/>
      <c r="S423" s="91"/>
      <c r="T423" s="91"/>
      <c r="U423" s="91"/>
      <c r="V423" s="91"/>
      <c r="W423" s="91"/>
      <c r="X423" s="91"/>
      <c r="Y423" s="91"/>
      <c r="Z423" s="91"/>
    </row>
    <row r="424" ht="24.0" customHeight="1">
      <c r="B424" s="90"/>
      <c r="C424" s="90"/>
      <c r="D424" s="90"/>
      <c r="E424" s="90"/>
      <c r="F424" s="90"/>
      <c r="G424" s="90"/>
      <c r="H424" s="90"/>
      <c r="I424" s="90"/>
      <c r="J424" s="90"/>
      <c r="K424" s="90"/>
      <c r="L424" s="90"/>
      <c r="M424" s="91"/>
      <c r="N424" s="91"/>
      <c r="O424" s="91"/>
      <c r="P424" s="91"/>
      <c r="Q424" s="91"/>
      <c r="R424" s="91"/>
      <c r="S424" s="91"/>
      <c r="T424" s="91"/>
      <c r="U424" s="91"/>
      <c r="V424" s="91"/>
      <c r="W424" s="91"/>
      <c r="X424" s="91"/>
      <c r="Y424" s="91"/>
      <c r="Z424" s="91"/>
    </row>
    <row r="425" ht="24.0" customHeight="1">
      <c r="B425" s="90"/>
      <c r="C425" s="90"/>
      <c r="D425" s="90"/>
      <c r="E425" s="90"/>
      <c r="F425" s="90"/>
      <c r="G425" s="90"/>
      <c r="H425" s="90"/>
      <c r="I425" s="90"/>
      <c r="J425" s="90"/>
      <c r="K425" s="90"/>
      <c r="L425" s="90"/>
      <c r="M425" s="91"/>
      <c r="N425" s="91"/>
      <c r="O425" s="91"/>
      <c r="P425" s="91"/>
      <c r="Q425" s="91"/>
      <c r="R425" s="91"/>
      <c r="S425" s="91"/>
      <c r="T425" s="91"/>
      <c r="U425" s="91"/>
      <c r="V425" s="91"/>
      <c r="W425" s="91"/>
      <c r="X425" s="91"/>
      <c r="Y425" s="91"/>
      <c r="Z425" s="91"/>
    </row>
    <row r="426" ht="24.0" customHeight="1">
      <c r="B426" s="90"/>
      <c r="C426" s="90"/>
      <c r="D426" s="90"/>
      <c r="E426" s="90"/>
      <c r="F426" s="90"/>
      <c r="G426" s="90"/>
      <c r="H426" s="90"/>
      <c r="I426" s="90"/>
      <c r="J426" s="90"/>
      <c r="K426" s="90"/>
      <c r="L426" s="90"/>
      <c r="M426" s="91"/>
      <c r="N426" s="91"/>
      <c r="O426" s="91"/>
      <c r="P426" s="91"/>
      <c r="Q426" s="91"/>
      <c r="R426" s="91"/>
      <c r="S426" s="91"/>
      <c r="T426" s="91"/>
      <c r="U426" s="91"/>
      <c r="V426" s="91"/>
      <c r="W426" s="91"/>
      <c r="X426" s="91"/>
      <c r="Y426" s="91"/>
      <c r="Z426" s="91"/>
    </row>
    <row r="427" ht="24.0" customHeight="1">
      <c r="B427" s="90"/>
      <c r="C427" s="90"/>
      <c r="D427" s="90"/>
      <c r="E427" s="90"/>
      <c r="F427" s="90"/>
      <c r="G427" s="90"/>
      <c r="H427" s="90"/>
      <c r="I427" s="90"/>
      <c r="J427" s="90"/>
      <c r="K427" s="90"/>
      <c r="L427" s="90"/>
      <c r="M427" s="91"/>
      <c r="N427" s="91"/>
      <c r="O427" s="91"/>
      <c r="P427" s="91"/>
      <c r="Q427" s="91"/>
      <c r="R427" s="91"/>
      <c r="S427" s="91"/>
      <c r="T427" s="91"/>
      <c r="U427" s="91"/>
      <c r="V427" s="91"/>
      <c r="W427" s="91"/>
      <c r="X427" s="91"/>
      <c r="Y427" s="91"/>
      <c r="Z427" s="91"/>
    </row>
    <row r="428" ht="24.0" customHeight="1">
      <c r="B428" s="90"/>
      <c r="C428" s="90"/>
      <c r="D428" s="90"/>
      <c r="E428" s="90"/>
      <c r="F428" s="90"/>
      <c r="G428" s="90"/>
      <c r="H428" s="90"/>
      <c r="I428" s="90"/>
      <c r="J428" s="90"/>
      <c r="K428" s="90"/>
      <c r="L428" s="90"/>
      <c r="M428" s="91"/>
      <c r="N428" s="91"/>
      <c r="O428" s="91"/>
      <c r="P428" s="91"/>
      <c r="Q428" s="91"/>
      <c r="R428" s="91"/>
      <c r="S428" s="91"/>
      <c r="T428" s="91"/>
      <c r="U428" s="91"/>
      <c r="V428" s="91"/>
      <c r="W428" s="91"/>
      <c r="X428" s="91"/>
      <c r="Y428" s="91"/>
      <c r="Z428" s="91"/>
    </row>
    <row r="429" ht="24.0" customHeight="1">
      <c r="B429" s="90"/>
      <c r="C429" s="90"/>
      <c r="D429" s="90"/>
      <c r="E429" s="90"/>
      <c r="F429" s="90"/>
      <c r="G429" s="90"/>
      <c r="H429" s="90"/>
      <c r="I429" s="90"/>
      <c r="J429" s="90"/>
      <c r="K429" s="90"/>
      <c r="L429" s="90"/>
      <c r="M429" s="91"/>
      <c r="N429" s="91"/>
      <c r="O429" s="91"/>
      <c r="P429" s="91"/>
      <c r="Q429" s="91"/>
      <c r="R429" s="91"/>
      <c r="S429" s="91"/>
      <c r="T429" s="91"/>
      <c r="U429" s="91"/>
      <c r="V429" s="91"/>
      <c r="W429" s="91"/>
      <c r="X429" s="91"/>
      <c r="Y429" s="91"/>
      <c r="Z429" s="91"/>
    </row>
    <row r="430" ht="24.0" customHeight="1">
      <c r="B430" s="90"/>
      <c r="C430" s="90"/>
      <c r="D430" s="90"/>
      <c r="E430" s="90"/>
      <c r="F430" s="90"/>
      <c r="G430" s="90"/>
      <c r="H430" s="90"/>
      <c r="I430" s="90"/>
      <c r="J430" s="90"/>
      <c r="K430" s="90"/>
      <c r="L430" s="90"/>
      <c r="M430" s="91"/>
      <c r="N430" s="91"/>
      <c r="O430" s="91"/>
      <c r="P430" s="91"/>
      <c r="Q430" s="91"/>
      <c r="R430" s="91"/>
      <c r="S430" s="91"/>
      <c r="T430" s="91"/>
      <c r="U430" s="91"/>
      <c r="V430" s="91"/>
      <c r="W430" s="91"/>
      <c r="X430" s="91"/>
      <c r="Y430" s="91"/>
      <c r="Z430" s="91"/>
    </row>
    <row r="431" ht="24.0" customHeight="1">
      <c r="B431" s="90"/>
      <c r="C431" s="90"/>
      <c r="D431" s="90"/>
      <c r="E431" s="90"/>
      <c r="F431" s="90"/>
      <c r="G431" s="90"/>
      <c r="H431" s="90"/>
      <c r="I431" s="90"/>
      <c r="J431" s="90"/>
      <c r="K431" s="90"/>
      <c r="L431" s="90"/>
      <c r="M431" s="91"/>
      <c r="N431" s="91"/>
      <c r="O431" s="91"/>
      <c r="P431" s="91"/>
      <c r="Q431" s="91"/>
      <c r="R431" s="91"/>
      <c r="S431" s="91"/>
      <c r="T431" s="91"/>
      <c r="U431" s="91"/>
      <c r="V431" s="91"/>
      <c r="W431" s="91"/>
      <c r="X431" s="91"/>
      <c r="Y431" s="91"/>
      <c r="Z431" s="91"/>
    </row>
    <row r="432" ht="24.0" customHeight="1">
      <c r="B432" s="90"/>
      <c r="C432" s="90"/>
      <c r="D432" s="90"/>
      <c r="E432" s="90"/>
      <c r="F432" s="90"/>
      <c r="G432" s="90"/>
      <c r="H432" s="90"/>
      <c r="I432" s="90"/>
      <c r="J432" s="90"/>
      <c r="K432" s="90"/>
      <c r="L432" s="90"/>
      <c r="M432" s="91"/>
      <c r="N432" s="91"/>
      <c r="O432" s="91"/>
      <c r="P432" s="91"/>
      <c r="Q432" s="91"/>
      <c r="R432" s="91"/>
      <c r="S432" s="91"/>
      <c r="T432" s="91"/>
      <c r="U432" s="91"/>
      <c r="V432" s="91"/>
      <c r="W432" s="91"/>
      <c r="X432" s="91"/>
      <c r="Y432" s="91"/>
      <c r="Z432" s="91"/>
    </row>
    <row r="433" ht="24.0" customHeight="1">
      <c r="B433" s="90"/>
      <c r="C433" s="90"/>
      <c r="D433" s="90"/>
      <c r="E433" s="90"/>
      <c r="F433" s="90"/>
      <c r="G433" s="90"/>
      <c r="H433" s="90"/>
      <c r="I433" s="90"/>
      <c r="J433" s="90"/>
      <c r="K433" s="90"/>
      <c r="L433" s="90"/>
      <c r="M433" s="91"/>
      <c r="N433" s="91"/>
      <c r="O433" s="91"/>
      <c r="P433" s="91"/>
      <c r="Q433" s="91"/>
      <c r="R433" s="91"/>
      <c r="S433" s="91"/>
      <c r="T433" s="91"/>
      <c r="U433" s="91"/>
      <c r="V433" s="91"/>
      <c r="W433" s="91"/>
      <c r="X433" s="91"/>
      <c r="Y433" s="91"/>
      <c r="Z433" s="91"/>
    </row>
    <row r="434" ht="24.0" customHeight="1">
      <c r="B434" s="90"/>
      <c r="C434" s="90"/>
      <c r="D434" s="90"/>
      <c r="E434" s="90"/>
      <c r="F434" s="90"/>
      <c r="G434" s="90"/>
      <c r="H434" s="90"/>
      <c r="I434" s="90"/>
      <c r="J434" s="90"/>
      <c r="K434" s="90"/>
      <c r="L434" s="90"/>
      <c r="M434" s="91"/>
      <c r="N434" s="91"/>
      <c r="O434" s="91"/>
      <c r="P434" s="91"/>
      <c r="Q434" s="91"/>
      <c r="R434" s="91"/>
      <c r="S434" s="91"/>
      <c r="T434" s="91"/>
      <c r="U434" s="91"/>
      <c r="V434" s="91"/>
      <c r="W434" s="91"/>
      <c r="X434" s="91"/>
      <c r="Y434" s="91"/>
      <c r="Z434" s="91"/>
    </row>
    <row r="435" ht="24.0" customHeight="1">
      <c r="B435" s="90"/>
      <c r="C435" s="90"/>
      <c r="D435" s="90"/>
      <c r="E435" s="90"/>
      <c r="F435" s="90"/>
      <c r="G435" s="90"/>
      <c r="H435" s="90"/>
      <c r="I435" s="90"/>
      <c r="J435" s="90"/>
      <c r="K435" s="90"/>
      <c r="L435" s="90"/>
      <c r="M435" s="91"/>
      <c r="N435" s="91"/>
      <c r="O435" s="91"/>
      <c r="P435" s="91"/>
      <c r="Q435" s="91"/>
      <c r="R435" s="91"/>
      <c r="S435" s="91"/>
      <c r="T435" s="91"/>
      <c r="U435" s="91"/>
      <c r="V435" s="91"/>
      <c r="W435" s="91"/>
      <c r="X435" s="91"/>
      <c r="Y435" s="91"/>
      <c r="Z435" s="91"/>
    </row>
    <row r="436" ht="24.0" customHeight="1">
      <c r="B436" s="90"/>
      <c r="C436" s="90"/>
      <c r="D436" s="90"/>
      <c r="E436" s="90"/>
      <c r="F436" s="90"/>
      <c r="G436" s="90"/>
      <c r="H436" s="90"/>
      <c r="I436" s="90"/>
      <c r="J436" s="90"/>
      <c r="K436" s="90"/>
      <c r="L436" s="90"/>
      <c r="M436" s="91"/>
      <c r="N436" s="91"/>
      <c r="O436" s="91"/>
      <c r="P436" s="91"/>
      <c r="Q436" s="91"/>
      <c r="R436" s="91"/>
      <c r="S436" s="91"/>
      <c r="T436" s="91"/>
      <c r="U436" s="91"/>
      <c r="V436" s="91"/>
      <c r="W436" s="91"/>
      <c r="X436" s="91"/>
      <c r="Y436" s="91"/>
      <c r="Z436" s="91"/>
    </row>
    <row r="437" ht="24.0" customHeight="1">
      <c r="B437" s="90"/>
      <c r="C437" s="90"/>
      <c r="D437" s="90"/>
      <c r="E437" s="90"/>
      <c r="F437" s="90"/>
      <c r="G437" s="90"/>
      <c r="H437" s="90"/>
      <c r="I437" s="90"/>
      <c r="J437" s="90"/>
      <c r="K437" s="90"/>
      <c r="L437" s="90"/>
      <c r="M437" s="91"/>
      <c r="N437" s="91"/>
      <c r="O437" s="91"/>
      <c r="P437" s="91"/>
      <c r="Q437" s="91"/>
      <c r="R437" s="91"/>
      <c r="S437" s="91"/>
      <c r="T437" s="91"/>
      <c r="U437" s="91"/>
      <c r="V437" s="91"/>
      <c r="W437" s="91"/>
      <c r="X437" s="91"/>
      <c r="Y437" s="91"/>
      <c r="Z437" s="91"/>
    </row>
    <row r="438" ht="24.0" customHeight="1">
      <c r="B438" s="90"/>
      <c r="C438" s="90"/>
      <c r="D438" s="90"/>
      <c r="E438" s="90"/>
      <c r="F438" s="90"/>
      <c r="G438" s="90"/>
      <c r="H438" s="90"/>
      <c r="I438" s="90"/>
      <c r="J438" s="90"/>
      <c r="K438" s="90"/>
      <c r="L438" s="90"/>
      <c r="M438" s="91"/>
      <c r="N438" s="91"/>
      <c r="O438" s="91"/>
      <c r="P438" s="91"/>
      <c r="Q438" s="91"/>
      <c r="R438" s="91"/>
      <c r="S438" s="91"/>
      <c r="T438" s="91"/>
      <c r="U438" s="91"/>
      <c r="V438" s="91"/>
      <c r="W438" s="91"/>
      <c r="X438" s="91"/>
      <c r="Y438" s="91"/>
      <c r="Z438" s="91"/>
    </row>
    <row r="439" ht="24.0" customHeight="1">
      <c r="B439" s="90"/>
      <c r="C439" s="90"/>
      <c r="D439" s="90"/>
      <c r="E439" s="90"/>
      <c r="F439" s="90"/>
      <c r="G439" s="90"/>
      <c r="H439" s="90"/>
      <c r="I439" s="90"/>
      <c r="J439" s="90"/>
      <c r="K439" s="90"/>
      <c r="L439" s="90"/>
      <c r="M439" s="91"/>
      <c r="N439" s="91"/>
      <c r="O439" s="91"/>
      <c r="P439" s="91"/>
      <c r="Q439" s="91"/>
      <c r="R439" s="91"/>
      <c r="S439" s="91"/>
      <c r="T439" s="91"/>
      <c r="U439" s="91"/>
      <c r="V439" s="91"/>
      <c r="W439" s="91"/>
      <c r="X439" s="91"/>
      <c r="Y439" s="91"/>
      <c r="Z439" s="91"/>
    </row>
    <row r="440" ht="24.0" customHeight="1">
      <c r="B440" s="90"/>
      <c r="C440" s="90"/>
      <c r="D440" s="90"/>
      <c r="E440" s="90"/>
      <c r="F440" s="90"/>
      <c r="G440" s="90"/>
      <c r="H440" s="90"/>
      <c r="I440" s="90"/>
      <c r="J440" s="90"/>
      <c r="K440" s="90"/>
      <c r="L440" s="90"/>
      <c r="M440" s="91"/>
      <c r="N440" s="91"/>
      <c r="O440" s="91"/>
      <c r="P440" s="91"/>
      <c r="Q440" s="91"/>
      <c r="R440" s="91"/>
      <c r="S440" s="91"/>
      <c r="T440" s="91"/>
      <c r="U440" s="91"/>
      <c r="V440" s="91"/>
      <c r="W440" s="91"/>
      <c r="X440" s="91"/>
      <c r="Y440" s="91"/>
      <c r="Z440" s="91"/>
    </row>
    <row r="441" ht="24.0" customHeight="1">
      <c r="B441" s="90"/>
      <c r="C441" s="90"/>
      <c r="D441" s="90"/>
      <c r="E441" s="90"/>
      <c r="F441" s="90"/>
      <c r="G441" s="90"/>
      <c r="H441" s="90"/>
      <c r="I441" s="90"/>
      <c r="J441" s="90"/>
      <c r="K441" s="90"/>
      <c r="L441" s="90"/>
      <c r="M441" s="91"/>
      <c r="N441" s="91"/>
      <c r="O441" s="91"/>
      <c r="P441" s="91"/>
      <c r="Q441" s="91"/>
      <c r="R441" s="91"/>
      <c r="S441" s="91"/>
      <c r="T441" s="91"/>
      <c r="U441" s="91"/>
      <c r="V441" s="91"/>
      <c r="W441" s="91"/>
      <c r="X441" s="91"/>
      <c r="Y441" s="91"/>
      <c r="Z441" s="91"/>
    </row>
    <row r="442" ht="24.0" customHeight="1">
      <c r="B442" s="90"/>
      <c r="C442" s="90"/>
      <c r="D442" s="90"/>
      <c r="E442" s="90"/>
      <c r="F442" s="90"/>
      <c r="G442" s="90"/>
      <c r="H442" s="90"/>
      <c r="I442" s="90"/>
      <c r="J442" s="90"/>
      <c r="K442" s="90"/>
      <c r="L442" s="90"/>
      <c r="M442" s="91"/>
      <c r="N442" s="91"/>
      <c r="O442" s="91"/>
      <c r="P442" s="91"/>
      <c r="Q442" s="91"/>
      <c r="R442" s="91"/>
      <c r="S442" s="91"/>
      <c r="T442" s="91"/>
      <c r="U442" s="91"/>
      <c r="V442" s="91"/>
      <c r="W442" s="91"/>
      <c r="X442" s="91"/>
      <c r="Y442" s="91"/>
      <c r="Z442" s="91"/>
    </row>
    <row r="443" ht="24.0" customHeight="1">
      <c r="B443" s="90"/>
      <c r="C443" s="90"/>
      <c r="D443" s="90"/>
      <c r="E443" s="90"/>
      <c r="F443" s="90"/>
      <c r="G443" s="90"/>
      <c r="H443" s="90"/>
      <c r="I443" s="90"/>
      <c r="J443" s="90"/>
      <c r="K443" s="90"/>
      <c r="L443" s="90"/>
      <c r="M443" s="91"/>
      <c r="N443" s="91"/>
      <c r="O443" s="91"/>
      <c r="P443" s="91"/>
      <c r="Q443" s="91"/>
      <c r="R443" s="91"/>
      <c r="S443" s="91"/>
      <c r="T443" s="91"/>
      <c r="U443" s="91"/>
      <c r="V443" s="91"/>
      <c r="W443" s="91"/>
      <c r="X443" s="91"/>
      <c r="Y443" s="91"/>
      <c r="Z443" s="91"/>
    </row>
    <row r="444" ht="24.0" customHeight="1">
      <c r="B444" s="90"/>
      <c r="C444" s="90"/>
      <c r="D444" s="90"/>
      <c r="E444" s="90"/>
      <c r="F444" s="90"/>
      <c r="G444" s="90"/>
      <c r="H444" s="90"/>
      <c r="I444" s="90"/>
      <c r="J444" s="90"/>
      <c r="K444" s="90"/>
      <c r="L444" s="90"/>
      <c r="M444" s="91"/>
      <c r="N444" s="91"/>
      <c r="O444" s="91"/>
      <c r="P444" s="91"/>
      <c r="Q444" s="91"/>
      <c r="R444" s="91"/>
      <c r="S444" s="91"/>
      <c r="T444" s="91"/>
      <c r="U444" s="91"/>
      <c r="V444" s="91"/>
      <c r="W444" s="91"/>
      <c r="X444" s="91"/>
      <c r="Y444" s="91"/>
      <c r="Z444" s="91"/>
    </row>
    <row r="445" ht="24.0" customHeight="1">
      <c r="B445" s="90"/>
      <c r="C445" s="90"/>
      <c r="D445" s="90"/>
      <c r="E445" s="90"/>
      <c r="F445" s="90"/>
      <c r="G445" s="90"/>
      <c r="H445" s="90"/>
      <c r="I445" s="90"/>
      <c r="J445" s="90"/>
      <c r="K445" s="90"/>
      <c r="L445" s="90"/>
      <c r="M445" s="91"/>
      <c r="N445" s="91"/>
      <c r="O445" s="91"/>
      <c r="P445" s="91"/>
      <c r="Q445" s="91"/>
      <c r="R445" s="91"/>
      <c r="S445" s="91"/>
      <c r="T445" s="91"/>
      <c r="U445" s="91"/>
      <c r="V445" s="91"/>
      <c r="W445" s="91"/>
      <c r="X445" s="91"/>
      <c r="Y445" s="91"/>
      <c r="Z445" s="91"/>
    </row>
    <row r="446" ht="24.0" customHeight="1">
      <c r="B446" s="90"/>
      <c r="C446" s="90"/>
      <c r="D446" s="90"/>
      <c r="E446" s="90"/>
      <c r="F446" s="90"/>
      <c r="G446" s="90"/>
      <c r="H446" s="90"/>
      <c r="I446" s="90"/>
      <c r="J446" s="90"/>
      <c r="K446" s="90"/>
      <c r="L446" s="90"/>
      <c r="M446" s="91"/>
      <c r="N446" s="91"/>
      <c r="O446" s="91"/>
      <c r="P446" s="91"/>
      <c r="Q446" s="91"/>
      <c r="R446" s="91"/>
      <c r="S446" s="91"/>
      <c r="T446" s="91"/>
      <c r="U446" s="91"/>
      <c r="V446" s="91"/>
      <c r="W446" s="91"/>
      <c r="X446" s="91"/>
      <c r="Y446" s="91"/>
      <c r="Z446" s="91"/>
    </row>
    <row r="447" ht="24.0" customHeight="1">
      <c r="B447" s="90"/>
      <c r="C447" s="90"/>
      <c r="D447" s="90"/>
      <c r="E447" s="90"/>
      <c r="F447" s="90"/>
      <c r="G447" s="90"/>
      <c r="H447" s="90"/>
      <c r="I447" s="90"/>
      <c r="J447" s="90"/>
      <c r="K447" s="90"/>
      <c r="L447" s="90"/>
      <c r="M447" s="91"/>
      <c r="N447" s="91"/>
      <c r="O447" s="91"/>
      <c r="P447" s="91"/>
      <c r="Q447" s="91"/>
      <c r="R447" s="91"/>
      <c r="S447" s="91"/>
      <c r="T447" s="91"/>
      <c r="U447" s="91"/>
      <c r="V447" s="91"/>
      <c r="W447" s="91"/>
      <c r="X447" s="91"/>
      <c r="Y447" s="91"/>
      <c r="Z447" s="91"/>
    </row>
    <row r="448" ht="24.0" customHeight="1">
      <c r="B448" s="90"/>
      <c r="C448" s="90"/>
      <c r="D448" s="90"/>
      <c r="E448" s="90"/>
      <c r="F448" s="90"/>
      <c r="G448" s="90"/>
      <c r="H448" s="90"/>
      <c r="I448" s="90"/>
      <c r="J448" s="90"/>
      <c r="K448" s="90"/>
      <c r="L448" s="90"/>
      <c r="M448" s="91"/>
      <c r="N448" s="91"/>
      <c r="O448" s="91"/>
      <c r="P448" s="91"/>
      <c r="Q448" s="91"/>
      <c r="R448" s="91"/>
      <c r="S448" s="91"/>
      <c r="T448" s="91"/>
      <c r="U448" s="91"/>
      <c r="V448" s="91"/>
      <c r="W448" s="91"/>
      <c r="X448" s="91"/>
      <c r="Y448" s="91"/>
      <c r="Z448" s="91"/>
    </row>
    <row r="449" ht="24.0" customHeight="1">
      <c r="B449" s="90"/>
      <c r="C449" s="90"/>
      <c r="D449" s="90"/>
      <c r="E449" s="90"/>
      <c r="F449" s="90"/>
      <c r="G449" s="90"/>
      <c r="H449" s="90"/>
      <c r="I449" s="90"/>
      <c r="J449" s="90"/>
      <c r="K449" s="90"/>
      <c r="L449" s="90"/>
      <c r="M449" s="91"/>
      <c r="N449" s="91"/>
      <c r="O449" s="91"/>
      <c r="P449" s="91"/>
      <c r="Q449" s="91"/>
      <c r="R449" s="91"/>
      <c r="S449" s="91"/>
      <c r="T449" s="91"/>
      <c r="U449" s="91"/>
      <c r="V449" s="91"/>
      <c r="W449" s="91"/>
      <c r="X449" s="91"/>
      <c r="Y449" s="91"/>
      <c r="Z449" s="91"/>
    </row>
    <row r="450" ht="24.0" customHeight="1">
      <c r="B450" s="90"/>
      <c r="C450" s="90"/>
      <c r="D450" s="90"/>
      <c r="E450" s="90"/>
      <c r="F450" s="90"/>
      <c r="G450" s="90"/>
      <c r="H450" s="90"/>
      <c r="I450" s="90"/>
      <c r="J450" s="90"/>
      <c r="K450" s="90"/>
      <c r="L450" s="90"/>
      <c r="M450" s="91"/>
      <c r="N450" s="91"/>
      <c r="O450" s="91"/>
      <c r="P450" s="91"/>
      <c r="Q450" s="91"/>
      <c r="R450" s="91"/>
      <c r="S450" s="91"/>
      <c r="T450" s="91"/>
      <c r="U450" s="91"/>
      <c r="V450" s="91"/>
      <c r="W450" s="91"/>
      <c r="X450" s="91"/>
      <c r="Y450" s="91"/>
      <c r="Z450" s="91"/>
    </row>
    <row r="451" ht="24.0" customHeight="1">
      <c r="B451" s="90"/>
      <c r="C451" s="90"/>
      <c r="D451" s="90"/>
      <c r="E451" s="90"/>
      <c r="F451" s="90"/>
      <c r="G451" s="90"/>
      <c r="H451" s="90"/>
      <c r="I451" s="90"/>
      <c r="J451" s="90"/>
      <c r="K451" s="90"/>
      <c r="L451" s="90"/>
      <c r="M451" s="91"/>
      <c r="N451" s="91"/>
      <c r="O451" s="91"/>
      <c r="P451" s="91"/>
      <c r="Q451" s="91"/>
      <c r="R451" s="91"/>
      <c r="S451" s="91"/>
      <c r="T451" s="91"/>
      <c r="U451" s="91"/>
      <c r="V451" s="91"/>
      <c r="W451" s="91"/>
      <c r="X451" s="91"/>
      <c r="Y451" s="91"/>
      <c r="Z451" s="91"/>
    </row>
    <row r="452" ht="24.0" customHeight="1">
      <c r="B452" s="90"/>
      <c r="C452" s="90"/>
      <c r="D452" s="90"/>
      <c r="E452" s="90"/>
      <c r="F452" s="90"/>
      <c r="G452" s="90"/>
      <c r="H452" s="90"/>
      <c r="I452" s="90"/>
      <c r="J452" s="90"/>
      <c r="K452" s="90"/>
      <c r="L452" s="90"/>
      <c r="M452" s="91"/>
      <c r="N452" s="91"/>
      <c r="O452" s="91"/>
      <c r="P452" s="91"/>
      <c r="Q452" s="91"/>
      <c r="R452" s="91"/>
      <c r="S452" s="91"/>
      <c r="T452" s="91"/>
      <c r="U452" s="91"/>
      <c r="V452" s="91"/>
      <c r="W452" s="91"/>
      <c r="X452" s="91"/>
      <c r="Y452" s="91"/>
      <c r="Z452" s="91"/>
    </row>
    <row r="453" ht="24.0" customHeight="1">
      <c r="B453" s="90"/>
      <c r="C453" s="90"/>
      <c r="D453" s="90"/>
      <c r="E453" s="90"/>
      <c r="F453" s="90"/>
      <c r="G453" s="90"/>
      <c r="H453" s="90"/>
      <c r="I453" s="90"/>
      <c r="J453" s="90"/>
      <c r="K453" s="90"/>
      <c r="L453" s="90"/>
      <c r="M453" s="91"/>
      <c r="N453" s="91"/>
      <c r="O453" s="91"/>
      <c r="P453" s="91"/>
      <c r="Q453" s="91"/>
      <c r="R453" s="91"/>
      <c r="S453" s="91"/>
      <c r="T453" s="91"/>
      <c r="U453" s="91"/>
      <c r="V453" s="91"/>
      <c r="W453" s="91"/>
      <c r="X453" s="91"/>
      <c r="Y453" s="91"/>
      <c r="Z453" s="91"/>
    </row>
    <row r="454" ht="24.0" customHeight="1">
      <c r="B454" s="90"/>
      <c r="C454" s="90"/>
      <c r="D454" s="90"/>
      <c r="E454" s="90"/>
      <c r="F454" s="90"/>
      <c r="G454" s="90"/>
      <c r="H454" s="90"/>
      <c r="I454" s="90"/>
      <c r="J454" s="90"/>
      <c r="K454" s="90"/>
      <c r="L454" s="90"/>
      <c r="M454" s="91"/>
      <c r="N454" s="91"/>
      <c r="O454" s="91"/>
      <c r="P454" s="91"/>
      <c r="Q454" s="91"/>
      <c r="R454" s="91"/>
      <c r="S454" s="91"/>
      <c r="T454" s="91"/>
      <c r="U454" s="91"/>
      <c r="V454" s="91"/>
      <c r="W454" s="91"/>
      <c r="X454" s="91"/>
      <c r="Y454" s="91"/>
      <c r="Z454" s="91"/>
    </row>
    <row r="455" ht="24.0" customHeight="1">
      <c r="B455" s="90"/>
      <c r="C455" s="90"/>
      <c r="D455" s="90"/>
      <c r="E455" s="90"/>
      <c r="F455" s="90"/>
      <c r="G455" s="90"/>
      <c r="H455" s="90"/>
      <c r="I455" s="90"/>
      <c r="J455" s="90"/>
      <c r="K455" s="90"/>
      <c r="L455" s="90"/>
      <c r="M455" s="91"/>
      <c r="N455" s="91"/>
      <c r="O455" s="91"/>
      <c r="P455" s="91"/>
      <c r="Q455" s="91"/>
      <c r="R455" s="91"/>
      <c r="S455" s="91"/>
      <c r="T455" s="91"/>
      <c r="U455" s="91"/>
      <c r="V455" s="91"/>
      <c r="W455" s="91"/>
      <c r="X455" s="91"/>
      <c r="Y455" s="91"/>
      <c r="Z455" s="91"/>
    </row>
    <row r="456" ht="24.0" customHeight="1">
      <c r="B456" s="90"/>
      <c r="C456" s="90"/>
      <c r="D456" s="90"/>
      <c r="E456" s="90"/>
      <c r="F456" s="90"/>
      <c r="G456" s="90"/>
      <c r="H456" s="90"/>
      <c r="I456" s="90"/>
      <c r="J456" s="90"/>
      <c r="K456" s="90"/>
      <c r="L456" s="90"/>
      <c r="M456" s="91"/>
      <c r="N456" s="91"/>
      <c r="O456" s="91"/>
      <c r="P456" s="91"/>
      <c r="Q456" s="91"/>
      <c r="R456" s="91"/>
      <c r="S456" s="91"/>
      <c r="T456" s="91"/>
      <c r="U456" s="91"/>
      <c r="V456" s="91"/>
      <c r="W456" s="91"/>
      <c r="X456" s="91"/>
      <c r="Y456" s="91"/>
      <c r="Z456" s="91"/>
    </row>
    <row r="457" ht="24.0" customHeight="1">
      <c r="B457" s="90"/>
      <c r="C457" s="90"/>
      <c r="D457" s="90"/>
      <c r="E457" s="90"/>
      <c r="F457" s="90"/>
      <c r="G457" s="90"/>
      <c r="H457" s="90"/>
      <c r="I457" s="90"/>
      <c r="J457" s="90"/>
      <c r="K457" s="90"/>
      <c r="L457" s="90"/>
      <c r="M457" s="91"/>
      <c r="N457" s="91"/>
      <c r="O457" s="91"/>
      <c r="P457" s="91"/>
      <c r="Q457" s="91"/>
      <c r="R457" s="91"/>
      <c r="S457" s="91"/>
      <c r="T457" s="91"/>
      <c r="U457" s="91"/>
      <c r="V457" s="91"/>
      <c r="W457" s="91"/>
      <c r="X457" s="91"/>
      <c r="Y457" s="91"/>
      <c r="Z457" s="91"/>
    </row>
    <row r="458" ht="24.0" customHeight="1">
      <c r="B458" s="90"/>
      <c r="C458" s="90"/>
      <c r="D458" s="90"/>
      <c r="E458" s="90"/>
      <c r="F458" s="90"/>
      <c r="G458" s="90"/>
      <c r="H458" s="90"/>
      <c r="I458" s="90"/>
      <c r="J458" s="90"/>
      <c r="K458" s="90"/>
      <c r="L458" s="90"/>
      <c r="M458" s="91"/>
      <c r="N458" s="91"/>
      <c r="O458" s="91"/>
      <c r="P458" s="91"/>
      <c r="Q458" s="91"/>
      <c r="R458" s="91"/>
      <c r="S458" s="91"/>
      <c r="T458" s="91"/>
      <c r="U458" s="91"/>
      <c r="V458" s="91"/>
      <c r="W458" s="91"/>
      <c r="X458" s="91"/>
      <c r="Y458" s="91"/>
      <c r="Z458" s="91"/>
    </row>
    <row r="459" ht="24.0" customHeight="1">
      <c r="B459" s="90"/>
      <c r="C459" s="90"/>
      <c r="D459" s="90"/>
      <c r="E459" s="90"/>
      <c r="F459" s="90"/>
      <c r="G459" s="90"/>
      <c r="H459" s="90"/>
      <c r="I459" s="90"/>
      <c r="J459" s="90"/>
      <c r="K459" s="90"/>
      <c r="L459" s="90"/>
      <c r="M459" s="91"/>
      <c r="N459" s="91"/>
      <c r="O459" s="91"/>
      <c r="P459" s="91"/>
      <c r="Q459" s="91"/>
      <c r="R459" s="91"/>
      <c r="S459" s="91"/>
      <c r="T459" s="91"/>
      <c r="U459" s="91"/>
      <c r="V459" s="91"/>
      <c r="W459" s="91"/>
      <c r="X459" s="91"/>
      <c r="Y459" s="91"/>
      <c r="Z459" s="91"/>
    </row>
    <row r="460" ht="24.0" customHeight="1">
      <c r="B460" s="90"/>
      <c r="C460" s="90"/>
      <c r="D460" s="90"/>
      <c r="E460" s="90"/>
      <c r="F460" s="90"/>
      <c r="G460" s="90"/>
      <c r="H460" s="90"/>
      <c r="I460" s="90"/>
      <c r="J460" s="90"/>
      <c r="K460" s="90"/>
      <c r="L460" s="90"/>
      <c r="M460" s="91"/>
      <c r="N460" s="91"/>
      <c r="O460" s="91"/>
      <c r="P460" s="91"/>
      <c r="Q460" s="91"/>
      <c r="R460" s="91"/>
      <c r="S460" s="91"/>
      <c r="T460" s="91"/>
      <c r="U460" s="91"/>
      <c r="V460" s="91"/>
      <c r="W460" s="91"/>
      <c r="X460" s="91"/>
      <c r="Y460" s="91"/>
      <c r="Z460" s="91"/>
    </row>
    <row r="461" ht="24.0" customHeight="1">
      <c r="B461" s="90"/>
      <c r="C461" s="90"/>
      <c r="D461" s="90"/>
      <c r="E461" s="90"/>
      <c r="F461" s="90"/>
      <c r="G461" s="90"/>
      <c r="H461" s="90"/>
      <c r="I461" s="90"/>
      <c r="J461" s="90"/>
      <c r="K461" s="90"/>
      <c r="L461" s="90"/>
      <c r="M461" s="91"/>
      <c r="N461" s="91"/>
      <c r="O461" s="91"/>
      <c r="P461" s="91"/>
      <c r="Q461" s="91"/>
      <c r="R461" s="91"/>
      <c r="S461" s="91"/>
      <c r="T461" s="91"/>
      <c r="U461" s="91"/>
      <c r="V461" s="91"/>
      <c r="W461" s="91"/>
      <c r="X461" s="91"/>
      <c r="Y461" s="91"/>
      <c r="Z461" s="91"/>
    </row>
    <row r="462" ht="24.0" customHeight="1">
      <c r="B462" s="90"/>
      <c r="C462" s="90"/>
      <c r="D462" s="90"/>
      <c r="E462" s="90"/>
      <c r="F462" s="90"/>
      <c r="G462" s="90"/>
      <c r="H462" s="90"/>
      <c r="I462" s="90"/>
      <c r="J462" s="90"/>
      <c r="K462" s="90"/>
      <c r="L462" s="90"/>
      <c r="M462" s="91"/>
      <c r="N462" s="91"/>
      <c r="O462" s="91"/>
      <c r="P462" s="91"/>
      <c r="Q462" s="91"/>
      <c r="R462" s="91"/>
      <c r="S462" s="91"/>
      <c r="T462" s="91"/>
      <c r="U462" s="91"/>
      <c r="V462" s="91"/>
      <c r="W462" s="91"/>
      <c r="X462" s="91"/>
      <c r="Y462" s="91"/>
      <c r="Z462" s="91"/>
    </row>
    <row r="463" ht="24.0" customHeight="1">
      <c r="B463" s="90"/>
      <c r="C463" s="90"/>
      <c r="D463" s="90"/>
      <c r="E463" s="90"/>
      <c r="F463" s="90"/>
      <c r="G463" s="90"/>
      <c r="H463" s="90"/>
      <c r="I463" s="90"/>
      <c r="J463" s="90"/>
      <c r="K463" s="90"/>
      <c r="L463" s="90"/>
      <c r="M463" s="91"/>
      <c r="N463" s="91"/>
      <c r="O463" s="91"/>
      <c r="P463" s="91"/>
      <c r="Q463" s="91"/>
      <c r="R463" s="91"/>
      <c r="S463" s="91"/>
      <c r="T463" s="91"/>
      <c r="U463" s="91"/>
      <c r="V463" s="91"/>
      <c r="W463" s="91"/>
      <c r="X463" s="91"/>
      <c r="Y463" s="91"/>
      <c r="Z463" s="91"/>
    </row>
    <row r="464" ht="24.0" customHeight="1">
      <c r="B464" s="90"/>
      <c r="C464" s="90"/>
      <c r="D464" s="90"/>
      <c r="E464" s="90"/>
      <c r="F464" s="90"/>
      <c r="G464" s="90"/>
      <c r="H464" s="90"/>
      <c r="I464" s="90"/>
      <c r="J464" s="90"/>
      <c r="K464" s="90"/>
      <c r="L464" s="90"/>
      <c r="M464" s="91"/>
      <c r="N464" s="91"/>
      <c r="O464" s="91"/>
      <c r="P464" s="91"/>
      <c r="Q464" s="91"/>
      <c r="R464" s="91"/>
      <c r="S464" s="91"/>
      <c r="T464" s="91"/>
      <c r="U464" s="91"/>
      <c r="V464" s="91"/>
      <c r="W464" s="91"/>
      <c r="X464" s="91"/>
      <c r="Y464" s="91"/>
      <c r="Z464" s="91"/>
    </row>
    <row r="465" ht="24.0" customHeight="1">
      <c r="B465" s="90"/>
      <c r="C465" s="90"/>
      <c r="D465" s="90"/>
      <c r="E465" s="90"/>
      <c r="F465" s="90"/>
      <c r="G465" s="90"/>
      <c r="H465" s="90"/>
      <c r="I465" s="90"/>
      <c r="J465" s="90"/>
      <c r="K465" s="90"/>
      <c r="L465" s="90"/>
      <c r="M465" s="91"/>
      <c r="N465" s="91"/>
      <c r="O465" s="91"/>
      <c r="P465" s="91"/>
      <c r="Q465" s="91"/>
      <c r="R465" s="91"/>
      <c r="S465" s="91"/>
      <c r="T465" s="91"/>
      <c r="U465" s="91"/>
      <c r="V465" s="91"/>
      <c r="W465" s="91"/>
      <c r="X465" s="91"/>
      <c r="Y465" s="91"/>
      <c r="Z465" s="91"/>
    </row>
    <row r="466" ht="24.0" customHeight="1">
      <c r="B466" s="90"/>
      <c r="C466" s="90"/>
      <c r="D466" s="90"/>
      <c r="E466" s="90"/>
      <c r="F466" s="90"/>
      <c r="G466" s="90"/>
      <c r="H466" s="90"/>
      <c r="I466" s="90"/>
      <c r="J466" s="90"/>
      <c r="K466" s="90"/>
      <c r="L466" s="90"/>
      <c r="M466" s="91"/>
      <c r="N466" s="91"/>
      <c r="O466" s="91"/>
      <c r="P466" s="91"/>
      <c r="Q466" s="91"/>
      <c r="R466" s="91"/>
      <c r="S466" s="91"/>
      <c r="T466" s="91"/>
      <c r="U466" s="91"/>
      <c r="V466" s="91"/>
      <c r="W466" s="91"/>
      <c r="X466" s="91"/>
      <c r="Y466" s="91"/>
      <c r="Z466" s="91"/>
    </row>
    <row r="467" ht="24.0" customHeight="1">
      <c r="B467" s="90"/>
      <c r="C467" s="90"/>
      <c r="D467" s="90"/>
      <c r="E467" s="90"/>
      <c r="F467" s="90"/>
      <c r="G467" s="90"/>
      <c r="H467" s="90"/>
      <c r="I467" s="90"/>
      <c r="J467" s="90"/>
      <c r="K467" s="90"/>
      <c r="L467" s="90"/>
      <c r="M467" s="91"/>
      <c r="N467" s="91"/>
      <c r="O467" s="91"/>
      <c r="P467" s="91"/>
      <c r="Q467" s="91"/>
      <c r="R467" s="91"/>
      <c r="S467" s="91"/>
      <c r="T467" s="91"/>
      <c r="U467" s="91"/>
      <c r="V467" s="91"/>
      <c r="W467" s="91"/>
      <c r="X467" s="91"/>
      <c r="Y467" s="91"/>
      <c r="Z467" s="91"/>
    </row>
    <row r="468" ht="24.0" customHeight="1">
      <c r="B468" s="90"/>
      <c r="C468" s="90"/>
      <c r="D468" s="90"/>
      <c r="E468" s="90"/>
      <c r="F468" s="90"/>
      <c r="G468" s="90"/>
      <c r="H468" s="90"/>
      <c r="I468" s="90"/>
      <c r="J468" s="90"/>
      <c r="K468" s="90"/>
      <c r="L468" s="90"/>
      <c r="M468" s="91"/>
      <c r="N468" s="91"/>
      <c r="O468" s="91"/>
      <c r="P468" s="91"/>
      <c r="Q468" s="91"/>
      <c r="R468" s="91"/>
      <c r="S468" s="91"/>
      <c r="T468" s="91"/>
      <c r="U468" s="91"/>
      <c r="V468" s="91"/>
      <c r="W468" s="91"/>
      <c r="X468" s="91"/>
      <c r="Y468" s="91"/>
      <c r="Z468" s="91"/>
    </row>
    <row r="469" ht="24.0" customHeight="1">
      <c r="B469" s="90"/>
      <c r="C469" s="90"/>
      <c r="D469" s="90"/>
      <c r="E469" s="90"/>
      <c r="F469" s="90"/>
      <c r="G469" s="90"/>
      <c r="H469" s="90"/>
      <c r="I469" s="90"/>
      <c r="J469" s="90"/>
      <c r="K469" s="90"/>
      <c r="L469" s="90"/>
      <c r="M469" s="91"/>
      <c r="N469" s="91"/>
      <c r="O469" s="91"/>
      <c r="P469" s="91"/>
      <c r="Q469" s="91"/>
      <c r="R469" s="91"/>
      <c r="S469" s="91"/>
      <c r="T469" s="91"/>
      <c r="U469" s="91"/>
      <c r="V469" s="91"/>
      <c r="W469" s="91"/>
      <c r="X469" s="91"/>
      <c r="Y469" s="91"/>
      <c r="Z469" s="91"/>
    </row>
    <row r="470" ht="24.0" customHeight="1">
      <c r="B470" s="90"/>
      <c r="C470" s="90"/>
      <c r="D470" s="90"/>
      <c r="E470" s="90"/>
      <c r="F470" s="90"/>
      <c r="G470" s="90"/>
      <c r="H470" s="90"/>
      <c r="I470" s="90"/>
      <c r="J470" s="90"/>
      <c r="K470" s="90"/>
      <c r="L470" s="90"/>
      <c r="M470" s="91"/>
      <c r="N470" s="91"/>
      <c r="O470" s="91"/>
      <c r="P470" s="91"/>
      <c r="Q470" s="91"/>
      <c r="R470" s="91"/>
      <c r="S470" s="91"/>
      <c r="T470" s="91"/>
      <c r="U470" s="91"/>
      <c r="V470" s="91"/>
      <c r="W470" s="91"/>
      <c r="X470" s="91"/>
      <c r="Y470" s="91"/>
      <c r="Z470" s="91"/>
    </row>
    <row r="471" ht="24.0" customHeight="1">
      <c r="B471" s="90"/>
      <c r="C471" s="90"/>
      <c r="D471" s="90"/>
      <c r="E471" s="90"/>
      <c r="F471" s="90"/>
      <c r="G471" s="90"/>
      <c r="H471" s="90"/>
      <c r="I471" s="90"/>
      <c r="J471" s="90"/>
      <c r="K471" s="90"/>
      <c r="L471" s="90"/>
      <c r="M471" s="91"/>
      <c r="N471" s="91"/>
      <c r="O471" s="91"/>
      <c r="P471" s="91"/>
      <c r="Q471" s="91"/>
      <c r="R471" s="91"/>
      <c r="S471" s="91"/>
      <c r="T471" s="91"/>
      <c r="U471" s="91"/>
      <c r="V471" s="91"/>
      <c r="W471" s="91"/>
      <c r="X471" s="91"/>
      <c r="Y471" s="91"/>
      <c r="Z471" s="91"/>
    </row>
    <row r="472" ht="24.0" customHeight="1">
      <c r="B472" s="90"/>
      <c r="C472" s="90"/>
      <c r="D472" s="90"/>
      <c r="E472" s="90"/>
      <c r="F472" s="90"/>
      <c r="G472" s="90"/>
      <c r="H472" s="90"/>
      <c r="I472" s="90"/>
      <c r="J472" s="90"/>
      <c r="K472" s="90"/>
      <c r="L472" s="90"/>
      <c r="M472" s="91"/>
      <c r="N472" s="91"/>
      <c r="O472" s="91"/>
      <c r="P472" s="91"/>
      <c r="Q472" s="91"/>
      <c r="R472" s="91"/>
      <c r="S472" s="91"/>
      <c r="T472" s="91"/>
      <c r="U472" s="91"/>
      <c r="V472" s="91"/>
      <c r="W472" s="91"/>
      <c r="X472" s="91"/>
      <c r="Y472" s="91"/>
      <c r="Z472" s="91"/>
    </row>
    <row r="473" ht="24.0" customHeight="1">
      <c r="B473" s="90"/>
      <c r="C473" s="90"/>
      <c r="D473" s="90"/>
      <c r="E473" s="90"/>
      <c r="F473" s="90"/>
      <c r="G473" s="90"/>
      <c r="H473" s="90"/>
      <c r="I473" s="90"/>
      <c r="J473" s="90"/>
      <c r="K473" s="90"/>
      <c r="L473" s="90"/>
      <c r="M473" s="91"/>
      <c r="N473" s="91"/>
      <c r="O473" s="91"/>
      <c r="P473" s="91"/>
      <c r="Q473" s="91"/>
      <c r="R473" s="91"/>
      <c r="S473" s="91"/>
      <c r="T473" s="91"/>
      <c r="U473" s="91"/>
      <c r="V473" s="91"/>
      <c r="W473" s="91"/>
      <c r="X473" s="91"/>
      <c r="Y473" s="91"/>
      <c r="Z473" s="91"/>
    </row>
    <row r="474" ht="24.0" customHeight="1">
      <c r="B474" s="90"/>
      <c r="C474" s="90"/>
      <c r="D474" s="90"/>
      <c r="E474" s="90"/>
      <c r="F474" s="90"/>
      <c r="G474" s="90"/>
      <c r="H474" s="90"/>
      <c r="I474" s="90"/>
      <c r="J474" s="90"/>
      <c r="K474" s="90"/>
      <c r="L474" s="90"/>
      <c r="M474" s="91"/>
      <c r="N474" s="91"/>
      <c r="O474" s="91"/>
      <c r="P474" s="91"/>
      <c r="Q474" s="91"/>
      <c r="R474" s="91"/>
      <c r="S474" s="91"/>
      <c r="T474" s="91"/>
      <c r="U474" s="91"/>
      <c r="V474" s="91"/>
      <c r="W474" s="91"/>
      <c r="X474" s="91"/>
      <c r="Y474" s="91"/>
      <c r="Z474" s="91"/>
    </row>
    <row r="475" ht="24.0" customHeight="1">
      <c r="B475" s="90"/>
      <c r="C475" s="90"/>
      <c r="D475" s="90"/>
      <c r="E475" s="90"/>
      <c r="F475" s="90"/>
      <c r="G475" s="90"/>
      <c r="H475" s="90"/>
      <c r="I475" s="90"/>
      <c r="J475" s="90"/>
      <c r="K475" s="90"/>
      <c r="L475" s="90"/>
      <c r="M475" s="91"/>
      <c r="N475" s="91"/>
      <c r="O475" s="91"/>
      <c r="P475" s="91"/>
      <c r="Q475" s="91"/>
      <c r="R475" s="91"/>
      <c r="S475" s="91"/>
      <c r="T475" s="91"/>
      <c r="U475" s="91"/>
      <c r="V475" s="91"/>
      <c r="W475" s="91"/>
      <c r="X475" s="91"/>
      <c r="Y475" s="91"/>
      <c r="Z475" s="91"/>
    </row>
    <row r="476" ht="24.0" customHeight="1">
      <c r="B476" s="90"/>
      <c r="C476" s="90"/>
      <c r="D476" s="90"/>
      <c r="E476" s="90"/>
      <c r="F476" s="90"/>
      <c r="G476" s="90"/>
      <c r="H476" s="90"/>
      <c r="I476" s="90"/>
      <c r="J476" s="90"/>
      <c r="K476" s="90"/>
      <c r="L476" s="90"/>
      <c r="M476" s="91"/>
      <c r="N476" s="91"/>
      <c r="O476" s="91"/>
      <c r="P476" s="91"/>
      <c r="Q476" s="91"/>
      <c r="R476" s="91"/>
      <c r="S476" s="91"/>
      <c r="T476" s="91"/>
      <c r="U476" s="91"/>
      <c r="V476" s="91"/>
      <c r="W476" s="91"/>
      <c r="X476" s="91"/>
      <c r="Y476" s="91"/>
      <c r="Z476" s="91"/>
    </row>
    <row r="477" ht="24.0" customHeight="1">
      <c r="B477" s="90"/>
      <c r="C477" s="90"/>
      <c r="D477" s="90"/>
      <c r="E477" s="90"/>
      <c r="F477" s="90"/>
      <c r="G477" s="90"/>
      <c r="H477" s="90"/>
      <c r="I477" s="90"/>
      <c r="J477" s="90"/>
      <c r="K477" s="90"/>
      <c r="L477" s="90"/>
      <c r="M477" s="91"/>
      <c r="N477" s="91"/>
      <c r="O477" s="91"/>
      <c r="P477" s="91"/>
      <c r="Q477" s="91"/>
      <c r="R477" s="91"/>
      <c r="S477" s="91"/>
      <c r="T477" s="91"/>
      <c r="U477" s="91"/>
      <c r="V477" s="91"/>
      <c r="W477" s="91"/>
      <c r="X477" s="91"/>
      <c r="Y477" s="91"/>
      <c r="Z477" s="91"/>
    </row>
    <row r="478" ht="24.0" customHeight="1">
      <c r="B478" s="90"/>
      <c r="C478" s="90"/>
      <c r="D478" s="90"/>
      <c r="E478" s="90"/>
      <c r="F478" s="90"/>
      <c r="G478" s="90"/>
      <c r="H478" s="90"/>
      <c r="I478" s="90"/>
      <c r="J478" s="90"/>
      <c r="K478" s="90"/>
      <c r="L478" s="90"/>
      <c r="M478" s="91"/>
      <c r="N478" s="91"/>
      <c r="O478" s="91"/>
      <c r="P478" s="91"/>
      <c r="Q478" s="91"/>
      <c r="R478" s="91"/>
      <c r="S478" s="91"/>
      <c r="T478" s="91"/>
      <c r="U478" s="91"/>
      <c r="V478" s="91"/>
      <c r="W478" s="91"/>
      <c r="X478" s="91"/>
      <c r="Y478" s="91"/>
      <c r="Z478" s="91"/>
    </row>
    <row r="479" ht="24.0" customHeight="1">
      <c r="B479" s="90"/>
      <c r="C479" s="90"/>
      <c r="D479" s="90"/>
      <c r="E479" s="90"/>
      <c r="F479" s="90"/>
      <c r="G479" s="90"/>
      <c r="H479" s="90"/>
      <c r="I479" s="90"/>
      <c r="J479" s="90"/>
      <c r="K479" s="90"/>
      <c r="L479" s="90"/>
      <c r="M479" s="91"/>
      <c r="N479" s="91"/>
      <c r="O479" s="91"/>
      <c r="P479" s="91"/>
      <c r="Q479" s="91"/>
      <c r="R479" s="91"/>
      <c r="S479" s="91"/>
      <c r="T479" s="91"/>
      <c r="U479" s="91"/>
      <c r="V479" s="91"/>
      <c r="W479" s="91"/>
      <c r="X479" s="91"/>
      <c r="Y479" s="91"/>
      <c r="Z479" s="91"/>
    </row>
    <row r="480" ht="24.0" customHeight="1">
      <c r="B480" s="90"/>
      <c r="C480" s="90"/>
      <c r="D480" s="90"/>
      <c r="E480" s="90"/>
      <c r="F480" s="90"/>
      <c r="G480" s="90"/>
      <c r="H480" s="90"/>
      <c r="I480" s="90"/>
      <c r="J480" s="90"/>
      <c r="K480" s="90"/>
      <c r="L480" s="90"/>
      <c r="M480" s="91"/>
      <c r="N480" s="91"/>
      <c r="O480" s="91"/>
      <c r="P480" s="91"/>
      <c r="Q480" s="91"/>
      <c r="R480" s="91"/>
      <c r="S480" s="91"/>
      <c r="T480" s="91"/>
      <c r="U480" s="91"/>
      <c r="V480" s="91"/>
      <c r="W480" s="91"/>
      <c r="X480" s="91"/>
      <c r="Y480" s="91"/>
      <c r="Z480" s="91"/>
    </row>
    <row r="481" ht="24.0" customHeight="1">
      <c r="B481" s="90"/>
      <c r="C481" s="90"/>
      <c r="D481" s="90"/>
      <c r="E481" s="90"/>
      <c r="F481" s="90"/>
      <c r="G481" s="90"/>
      <c r="H481" s="90"/>
      <c r="I481" s="90"/>
      <c r="J481" s="90"/>
      <c r="K481" s="90"/>
      <c r="L481" s="90"/>
      <c r="M481" s="91"/>
      <c r="N481" s="91"/>
      <c r="O481" s="91"/>
      <c r="P481" s="91"/>
      <c r="Q481" s="91"/>
      <c r="R481" s="91"/>
      <c r="S481" s="91"/>
      <c r="T481" s="91"/>
      <c r="U481" s="91"/>
      <c r="V481" s="91"/>
      <c r="W481" s="91"/>
      <c r="X481" s="91"/>
      <c r="Y481" s="91"/>
      <c r="Z481" s="91"/>
    </row>
    <row r="482" ht="24.0" customHeight="1">
      <c r="B482" s="90"/>
      <c r="C482" s="90"/>
      <c r="D482" s="90"/>
      <c r="E482" s="90"/>
      <c r="F482" s="90"/>
      <c r="G482" s="90"/>
      <c r="H482" s="90"/>
      <c r="I482" s="90"/>
      <c r="J482" s="90"/>
      <c r="K482" s="90"/>
      <c r="L482" s="90"/>
      <c r="M482" s="91"/>
      <c r="N482" s="91"/>
      <c r="O482" s="91"/>
      <c r="P482" s="91"/>
      <c r="Q482" s="91"/>
      <c r="R482" s="91"/>
      <c r="S482" s="91"/>
      <c r="T482" s="91"/>
      <c r="U482" s="91"/>
      <c r="V482" s="91"/>
      <c r="W482" s="91"/>
      <c r="X482" s="91"/>
      <c r="Y482" s="91"/>
      <c r="Z482" s="91"/>
    </row>
    <row r="483" ht="24.0" customHeight="1">
      <c r="B483" s="90"/>
      <c r="C483" s="90"/>
      <c r="D483" s="90"/>
      <c r="E483" s="90"/>
      <c r="F483" s="90"/>
      <c r="G483" s="90"/>
      <c r="H483" s="90"/>
      <c r="I483" s="90"/>
      <c r="J483" s="90"/>
      <c r="K483" s="90"/>
      <c r="L483" s="90"/>
      <c r="M483" s="91"/>
      <c r="N483" s="91"/>
      <c r="O483" s="91"/>
      <c r="P483" s="91"/>
      <c r="Q483" s="91"/>
      <c r="R483" s="91"/>
      <c r="S483" s="91"/>
      <c r="T483" s="91"/>
      <c r="U483" s="91"/>
      <c r="V483" s="91"/>
      <c r="W483" s="91"/>
      <c r="X483" s="91"/>
      <c r="Y483" s="91"/>
      <c r="Z483" s="91"/>
    </row>
    <row r="484" ht="24.0" customHeight="1">
      <c r="B484" s="90"/>
      <c r="C484" s="90"/>
      <c r="D484" s="90"/>
      <c r="E484" s="90"/>
      <c r="F484" s="90"/>
      <c r="G484" s="90"/>
      <c r="H484" s="90"/>
      <c r="I484" s="90"/>
      <c r="J484" s="90"/>
      <c r="K484" s="90"/>
      <c r="L484" s="90"/>
      <c r="M484" s="91"/>
      <c r="N484" s="91"/>
      <c r="O484" s="91"/>
      <c r="P484" s="91"/>
      <c r="Q484" s="91"/>
      <c r="R484" s="91"/>
      <c r="S484" s="91"/>
      <c r="T484" s="91"/>
      <c r="U484" s="91"/>
      <c r="V484" s="91"/>
      <c r="W484" s="91"/>
      <c r="X484" s="91"/>
      <c r="Y484" s="91"/>
      <c r="Z484" s="91"/>
    </row>
    <row r="485" ht="24.0" customHeight="1">
      <c r="B485" s="90"/>
      <c r="C485" s="90"/>
      <c r="D485" s="90"/>
      <c r="E485" s="90"/>
      <c r="F485" s="90"/>
      <c r="G485" s="90"/>
      <c r="H485" s="90"/>
      <c r="I485" s="90"/>
      <c r="J485" s="90"/>
      <c r="K485" s="90"/>
      <c r="L485" s="90"/>
      <c r="M485" s="91"/>
      <c r="N485" s="91"/>
      <c r="O485" s="91"/>
      <c r="P485" s="91"/>
      <c r="Q485" s="91"/>
      <c r="R485" s="91"/>
      <c r="S485" s="91"/>
      <c r="T485" s="91"/>
      <c r="U485" s="91"/>
      <c r="V485" s="91"/>
      <c r="W485" s="91"/>
      <c r="X485" s="91"/>
      <c r="Y485" s="91"/>
      <c r="Z485" s="91"/>
    </row>
    <row r="486" ht="24.0" customHeight="1">
      <c r="B486" s="90"/>
      <c r="C486" s="90"/>
      <c r="D486" s="90"/>
      <c r="E486" s="90"/>
      <c r="F486" s="90"/>
      <c r="G486" s="90"/>
      <c r="H486" s="90"/>
      <c r="I486" s="90"/>
      <c r="J486" s="90"/>
      <c r="K486" s="90"/>
      <c r="L486" s="90"/>
      <c r="M486" s="91"/>
      <c r="N486" s="91"/>
      <c r="O486" s="91"/>
      <c r="P486" s="91"/>
      <c r="Q486" s="91"/>
      <c r="R486" s="91"/>
      <c r="S486" s="91"/>
      <c r="T486" s="91"/>
      <c r="U486" s="91"/>
      <c r="V486" s="91"/>
      <c r="W486" s="91"/>
      <c r="X486" s="91"/>
      <c r="Y486" s="91"/>
      <c r="Z486" s="91"/>
    </row>
    <row r="487" ht="24.0" customHeight="1">
      <c r="B487" s="90"/>
      <c r="C487" s="90"/>
      <c r="D487" s="90"/>
      <c r="E487" s="90"/>
      <c r="F487" s="90"/>
      <c r="G487" s="90"/>
      <c r="H487" s="90"/>
      <c r="I487" s="90"/>
      <c r="J487" s="90"/>
      <c r="K487" s="90"/>
      <c r="L487" s="90"/>
      <c r="M487" s="91"/>
      <c r="N487" s="91"/>
      <c r="O487" s="91"/>
      <c r="P487" s="91"/>
      <c r="Q487" s="91"/>
      <c r="R487" s="91"/>
      <c r="S487" s="91"/>
      <c r="T487" s="91"/>
      <c r="U487" s="91"/>
      <c r="V487" s="91"/>
      <c r="W487" s="91"/>
      <c r="X487" s="91"/>
      <c r="Y487" s="91"/>
      <c r="Z487" s="91"/>
    </row>
    <row r="488" ht="24.0" customHeight="1">
      <c r="B488" s="90"/>
      <c r="C488" s="90"/>
      <c r="D488" s="90"/>
      <c r="E488" s="90"/>
      <c r="F488" s="90"/>
      <c r="G488" s="90"/>
      <c r="H488" s="90"/>
      <c r="I488" s="90"/>
      <c r="J488" s="90"/>
      <c r="K488" s="90"/>
      <c r="L488" s="90"/>
      <c r="M488" s="91"/>
      <c r="N488" s="91"/>
      <c r="O488" s="91"/>
      <c r="P488" s="91"/>
      <c r="Q488" s="91"/>
      <c r="R488" s="91"/>
      <c r="S488" s="91"/>
      <c r="T488" s="91"/>
      <c r="U488" s="91"/>
      <c r="V488" s="91"/>
      <c r="W488" s="91"/>
      <c r="X488" s="91"/>
      <c r="Y488" s="91"/>
      <c r="Z488" s="91"/>
    </row>
    <row r="489" ht="24.0" customHeight="1">
      <c r="B489" s="90"/>
      <c r="C489" s="90"/>
      <c r="D489" s="90"/>
      <c r="E489" s="90"/>
      <c r="F489" s="90"/>
      <c r="G489" s="90"/>
      <c r="H489" s="90"/>
      <c r="I489" s="90"/>
      <c r="J489" s="90"/>
      <c r="K489" s="90"/>
      <c r="L489" s="90"/>
      <c r="M489" s="91"/>
      <c r="N489" s="91"/>
      <c r="O489" s="91"/>
      <c r="P489" s="91"/>
      <c r="Q489" s="91"/>
      <c r="R489" s="91"/>
      <c r="S489" s="91"/>
      <c r="T489" s="91"/>
      <c r="U489" s="91"/>
      <c r="V489" s="91"/>
      <c r="W489" s="91"/>
      <c r="X489" s="91"/>
      <c r="Y489" s="91"/>
      <c r="Z489" s="91"/>
    </row>
    <row r="490" ht="24.0" customHeight="1">
      <c r="B490" s="90"/>
      <c r="C490" s="90"/>
      <c r="D490" s="90"/>
      <c r="E490" s="90"/>
      <c r="F490" s="90"/>
      <c r="G490" s="90"/>
      <c r="H490" s="90"/>
      <c r="I490" s="90"/>
      <c r="J490" s="90"/>
      <c r="K490" s="90"/>
      <c r="L490" s="90"/>
      <c r="M490" s="91"/>
      <c r="N490" s="91"/>
      <c r="O490" s="91"/>
      <c r="P490" s="91"/>
      <c r="Q490" s="91"/>
      <c r="R490" s="91"/>
      <c r="S490" s="91"/>
      <c r="T490" s="91"/>
      <c r="U490" s="91"/>
      <c r="V490" s="91"/>
      <c r="W490" s="91"/>
      <c r="X490" s="91"/>
      <c r="Y490" s="91"/>
      <c r="Z490" s="91"/>
    </row>
    <row r="491" ht="24.0" customHeight="1">
      <c r="B491" s="90"/>
      <c r="C491" s="90"/>
      <c r="D491" s="90"/>
      <c r="E491" s="90"/>
      <c r="F491" s="90"/>
      <c r="G491" s="90"/>
      <c r="H491" s="90"/>
      <c r="I491" s="90"/>
      <c r="J491" s="90"/>
      <c r="K491" s="90"/>
      <c r="L491" s="90"/>
      <c r="M491" s="91"/>
      <c r="N491" s="91"/>
      <c r="O491" s="91"/>
      <c r="P491" s="91"/>
      <c r="Q491" s="91"/>
      <c r="R491" s="91"/>
      <c r="S491" s="91"/>
      <c r="T491" s="91"/>
      <c r="U491" s="91"/>
      <c r="V491" s="91"/>
      <c r="W491" s="91"/>
      <c r="X491" s="91"/>
      <c r="Y491" s="91"/>
      <c r="Z491" s="91"/>
    </row>
    <row r="492" ht="24.0" customHeight="1">
      <c r="B492" s="90"/>
      <c r="C492" s="90"/>
      <c r="D492" s="90"/>
      <c r="E492" s="90"/>
      <c r="F492" s="90"/>
      <c r="G492" s="90"/>
      <c r="H492" s="90"/>
      <c r="I492" s="90"/>
      <c r="J492" s="90"/>
      <c r="K492" s="90"/>
      <c r="L492" s="90"/>
      <c r="M492" s="91"/>
      <c r="N492" s="91"/>
      <c r="O492" s="91"/>
      <c r="P492" s="91"/>
      <c r="Q492" s="91"/>
      <c r="R492" s="91"/>
      <c r="S492" s="91"/>
      <c r="T492" s="91"/>
      <c r="U492" s="91"/>
      <c r="V492" s="91"/>
      <c r="W492" s="91"/>
      <c r="X492" s="91"/>
      <c r="Y492" s="91"/>
      <c r="Z492" s="91"/>
    </row>
    <row r="493" ht="24.0" customHeight="1">
      <c r="B493" s="90"/>
      <c r="C493" s="90"/>
      <c r="D493" s="90"/>
      <c r="E493" s="90"/>
      <c r="F493" s="90"/>
      <c r="G493" s="90"/>
      <c r="H493" s="90"/>
      <c r="I493" s="90"/>
      <c r="J493" s="90"/>
      <c r="K493" s="90"/>
      <c r="L493" s="90"/>
      <c r="M493" s="91"/>
      <c r="N493" s="91"/>
      <c r="O493" s="91"/>
      <c r="P493" s="91"/>
      <c r="Q493" s="91"/>
      <c r="R493" s="91"/>
      <c r="S493" s="91"/>
      <c r="T493" s="91"/>
      <c r="U493" s="91"/>
      <c r="V493" s="91"/>
      <c r="W493" s="91"/>
      <c r="X493" s="91"/>
      <c r="Y493" s="91"/>
      <c r="Z493" s="91"/>
    </row>
    <row r="494" ht="24.0" customHeight="1">
      <c r="B494" s="90"/>
      <c r="C494" s="90"/>
      <c r="D494" s="90"/>
      <c r="E494" s="90"/>
      <c r="F494" s="90"/>
      <c r="G494" s="90"/>
      <c r="H494" s="90"/>
      <c r="I494" s="90"/>
      <c r="J494" s="90"/>
      <c r="K494" s="90"/>
      <c r="L494" s="90"/>
      <c r="M494" s="91"/>
      <c r="N494" s="91"/>
      <c r="O494" s="91"/>
      <c r="P494" s="91"/>
      <c r="Q494" s="91"/>
      <c r="R494" s="91"/>
      <c r="S494" s="91"/>
      <c r="T494" s="91"/>
      <c r="U494" s="91"/>
      <c r="V494" s="91"/>
      <c r="W494" s="91"/>
      <c r="X494" s="91"/>
      <c r="Y494" s="91"/>
      <c r="Z494" s="91"/>
    </row>
    <row r="495" ht="24.0" customHeight="1">
      <c r="B495" s="90"/>
      <c r="C495" s="90"/>
      <c r="D495" s="90"/>
      <c r="E495" s="90"/>
      <c r="F495" s="90"/>
      <c r="G495" s="90"/>
      <c r="H495" s="90"/>
      <c r="I495" s="90"/>
      <c r="J495" s="90"/>
      <c r="K495" s="90"/>
      <c r="L495" s="90"/>
      <c r="M495" s="91"/>
      <c r="N495" s="91"/>
      <c r="O495" s="91"/>
      <c r="P495" s="91"/>
      <c r="Q495" s="91"/>
      <c r="R495" s="91"/>
      <c r="S495" s="91"/>
      <c r="T495" s="91"/>
      <c r="U495" s="91"/>
      <c r="V495" s="91"/>
      <c r="W495" s="91"/>
      <c r="X495" s="91"/>
      <c r="Y495" s="91"/>
      <c r="Z495" s="91"/>
    </row>
    <row r="496" ht="24.0" customHeight="1">
      <c r="B496" s="90"/>
      <c r="C496" s="90"/>
      <c r="D496" s="90"/>
      <c r="E496" s="90"/>
      <c r="F496" s="90"/>
      <c r="G496" s="90"/>
      <c r="H496" s="90"/>
      <c r="I496" s="90"/>
      <c r="J496" s="90"/>
      <c r="K496" s="90"/>
      <c r="L496" s="90"/>
      <c r="M496" s="91"/>
      <c r="N496" s="91"/>
      <c r="O496" s="91"/>
      <c r="P496" s="91"/>
      <c r="Q496" s="91"/>
      <c r="R496" s="91"/>
      <c r="S496" s="91"/>
      <c r="T496" s="91"/>
      <c r="U496" s="91"/>
      <c r="V496" s="91"/>
      <c r="W496" s="91"/>
      <c r="X496" s="91"/>
      <c r="Y496" s="91"/>
      <c r="Z496" s="91"/>
    </row>
    <row r="497" ht="24.0" customHeight="1">
      <c r="B497" s="90"/>
      <c r="C497" s="90"/>
      <c r="D497" s="90"/>
      <c r="E497" s="90"/>
      <c r="F497" s="90"/>
      <c r="G497" s="90"/>
      <c r="H497" s="90"/>
      <c r="I497" s="90"/>
      <c r="J497" s="90"/>
      <c r="K497" s="90"/>
      <c r="L497" s="90"/>
      <c r="M497" s="91"/>
      <c r="N497" s="91"/>
      <c r="O497" s="91"/>
      <c r="P497" s="91"/>
      <c r="Q497" s="91"/>
      <c r="R497" s="91"/>
      <c r="S497" s="91"/>
      <c r="T497" s="91"/>
      <c r="U497" s="91"/>
      <c r="V497" s="91"/>
      <c r="W497" s="91"/>
      <c r="X497" s="91"/>
      <c r="Y497" s="91"/>
      <c r="Z497" s="91"/>
    </row>
    <row r="498" ht="24.0" customHeight="1">
      <c r="B498" s="90"/>
      <c r="C498" s="90"/>
      <c r="D498" s="90"/>
      <c r="E498" s="90"/>
      <c r="F498" s="90"/>
      <c r="G498" s="90"/>
      <c r="H498" s="90"/>
      <c r="I498" s="90"/>
      <c r="J498" s="90"/>
      <c r="K498" s="90"/>
      <c r="L498" s="90"/>
      <c r="M498" s="91"/>
      <c r="N498" s="91"/>
      <c r="O498" s="91"/>
      <c r="P498" s="91"/>
      <c r="Q498" s="91"/>
      <c r="R498" s="91"/>
      <c r="S498" s="91"/>
      <c r="T498" s="91"/>
      <c r="U498" s="91"/>
      <c r="V498" s="91"/>
      <c r="W498" s="91"/>
      <c r="X498" s="91"/>
      <c r="Y498" s="91"/>
      <c r="Z498" s="91"/>
    </row>
    <row r="499" ht="24.0" customHeight="1">
      <c r="B499" s="90"/>
      <c r="C499" s="90"/>
      <c r="D499" s="90"/>
      <c r="E499" s="90"/>
      <c r="F499" s="90"/>
      <c r="G499" s="90"/>
      <c r="H499" s="90"/>
      <c r="I499" s="90"/>
      <c r="J499" s="90"/>
      <c r="K499" s="90"/>
      <c r="L499" s="90"/>
      <c r="M499" s="91"/>
      <c r="N499" s="91"/>
      <c r="O499" s="91"/>
      <c r="P499" s="91"/>
      <c r="Q499" s="91"/>
      <c r="R499" s="91"/>
      <c r="S499" s="91"/>
      <c r="T499" s="91"/>
      <c r="U499" s="91"/>
      <c r="V499" s="91"/>
      <c r="W499" s="91"/>
      <c r="X499" s="91"/>
      <c r="Y499" s="91"/>
      <c r="Z499" s="91"/>
    </row>
    <row r="500" ht="24.0" customHeight="1">
      <c r="B500" s="90"/>
      <c r="C500" s="90"/>
      <c r="D500" s="90"/>
      <c r="E500" s="90"/>
      <c r="F500" s="90"/>
      <c r="G500" s="90"/>
      <c r="H500" s="90"/>
      <c r="I500" s="90"/>
      <c r="J500" s="90"/>
      <c r="K500" s="90"/>
      <c r="L500" s="90"/>
      <c r="M500" s="91"/>
      <c r="N500" s="91"/>
      <c r="O500" s="91"/>
      <c r="P500" s="91"/>
      <c r="Q500" s="91"/>
      <c r="R500" s="91"/>
      <c r="S500" s="91"/>
      <c r="T500" s="91"/>
      <c r="U500" s="91"/>
      <c r="V500" s="91"/>
      <c r="W500" s="91"/>
      <c r="X500" s="91"/>
      <c r="Y500" s="91"/>
      <c r="Z500" s="91"/>
    </row>
    <row r="501" ht="24.0" customHeight="1">
      <c r="B501" s="90"/>
      <c r="C501" s="90"/>
      <c r="D501" s="90"/>
      <c r="E501" s="90"/>
      <c r="F501" s="90"/>
      <c r="G501" s="90"/>
      <c r="H501" s="90"/>
      <c r="I501" s="90"/>
      <c r="J501" s="90"/>
      <c r="K501" s="90"/>
      <c r="L501" s="90"/>
      <c r="M501" s="91"/>
      <c r="N501" s="91"/>
      <c r="O501" s="91"/>
      <c r="P501" s="91"/>
      <c r="Q501" s="91"/>
      <c r="R501" s="91"/>
      <c r="S501" s="91"/>
      <c r="T501" s="91"/>
      <c r="U501" s="91"/>
      <c r="V501" s="91"/>
      <c r="W501" s="91"/>
      <c r="X501" s="91"/>
      <c r="Y501" s="91"/>
      <c r="Z501" s="91"/>
    </row>
    <row r="502" ht="24.0" customHeight="1">
      <c r="B502" s="90"/>
      <c r="C502" s="90"/>
      <c r="D502" s="90"/>
      <c r="E502" s="90"/>
      <c r="F502" s="90"/>
      <c r="G502" s="90"/>
      <c r="H502" s="90"/>
      <c r="I502" s="90"/>
      <c r="J502" s="90"/>
      <c r="K502" s="90"/>
      <c r="L502" s="90"/>
      <c r="M502" s="91"/>
      <c r="N502" s="91"/>
      <c r="O502" s="91"/>
      <c r="P502" s="91"/>
      <c r="Q502" s="91"/>
      <c r="R502" s="91"/>
      <c r="S502" s="91"/>
      <c r="T502" s="91"/>
      <c r="U502" s="91"/>
      <c r="V502" s="91"/>
      <c r="W502" s="91"/>
      <c r="X502" s="91"/>
      <c r="Y502" s="91"/>
      <c r="Z502" s="91"/>
    </row>
    <row r="503" ht="24.0" customHeight="1">
      <c r="B503" s="90"/>
      <c r="C503" s="90"/>
      <c r="D503" s="90"/>
      <c r="E503" s="90"/>
      <c r="F503" s="90"/>
      <c r="G503" s="90"/>
      <c r="H503" s="90"/>
      <c r="I503" s="90"/>
      <c r="J503" s="90"/>
      <c r="K503" s="90"/>
      <c r="L503" s="90"/>
      <c r="M503" s="91"/>
      <c r="N503" s="91"/>
      <c r="O503" s="91"/>
      <c r="P503" s="91"/>
      <c r="Q503" s="91"/>
      <c r="R503" s="91"/>
      <c r="S503" s="91"/>
      <c r="T503" s="91"/>
      <c r="U503" s="91"/>
      <c r="V503" s="91"/>
      <c r="W503" s="91"/>
      <c r="X503" s="91"/>
      <c r="Y503" s="91"/>
      <c r="Z503" s="91"/>
    </row>
    <row r="504" ht="24.0" customHeight="1">
      <c r="B504" s="90"/>
      <c r="C504" s="90"/>
      <c r="D504" s="90"/>
      <c r="E504" s="90"/>
      <c r="F504" s="90"/>
      <c r="G504" s="90"/>
      <c r="H504" s="90"/>
      <c r="I504" s="90"/>
      <c r="J504" s="90"/>
      <c r="K504" s="90"/>
      <c r="L504" s="90"/>
      <c r="M504" s="91"/>
      <c r="N504" s="91"/>
      <c r="O504" s="91"/>
      <c r="P504" s="91"/>
      <c r="Q504" s="91"/>
      <c r="R504" s="91"/>
      <c r="S504" s="91"/>
      <c r="T504" s="91"/>
      <c r="U504" s="91"/>
      <c r="V504" s="91"/>
      <c r="W504" s="91"/>
      <c r="X504" s="91"/>
      <c r="Y504" s="91"/>
      <c r="Z504" s="91"/>
    </row>
    <row r="505" ht="24.0" customHeight="1">
      <c r="B505" s="90"/>
      <c r="C505" s="90"/>
      <c r="D505" s="90"/>
      <c r="E505" s="90"/>
      <c r="F505" s="90"/>
      <c r="G505" s="90"/>
      <c r="H505" s="90"/>
      <c r="I505" s="90"/>
      <c r="J505" s="90"/>
      <c r="K505" s="90"/>
      <c r="L505" s="90"/>
      <c r="M505" s="91"/>
      <c r="N505" s="91"/>
      <c r="O505" s="91"/>
      <c r="P505" s="91"/>
      <c r="Q505" s="91"/>
      <c r="R505" s="91"/>
      <c r="S505" s="91"/>
      <c r="T505" s="91"/>
      <c r="U505" s="91"/>
      <c r="V505" s="91"/>
      <c r="W505" s="91"/>
      <c r="X505" s="91"/>
      <c r="Y505" s="91"/>
      <c r="Z505" s="91"/>
    </row>
    <row r="506" ht="24.0" customHeight="1">
      <c r="B506" s="90"/>
      <c r="C506" s="90"/>
      <c r="D506" s="90"/>
      <c r="E506" s="90"/>
      <c r="F506" s="90"/>
      <c r="G506" s="90"/>
      <c r="H506" s="90"/>
      <c r="I506" s="90"/>
      <c r="J506" s="90"/>
      <c r="K506" s="90"/>
      <c r="L506" s="90"/>
      <c r="M506" s="91"/>
      <c r="N506" s="91"/>
      <c r="O506" s="91"/>
      <c r="P506" s="91"/>
      <c r="Q506" s="91"/>
      <c r="R506" s="91"/>
      <c r="S506" s="91"/>
      <c r="T506" s="91"/>
      <c r="U506" s="91"/>
      <c r="V506" s="91"/>
      <c r="W506" s="91"/>
      <c r="X506" s="91"/>
      <c r="Y506" s="91"/>
      <c r="Z506" s="91"/>
    </row>
    <row r="507" ht="24.0" customHeight="1">
      <c r="B507" s="90"/>
      <c r="C507" s="90"/>
      <c r="D507" s="90"/>
      <c r="E507" s="90"/>
      <c r="F507" s="90"/>
      <c r="G507" s="90"/>
      <c r="H507" s="90"/>
      <c r="I507" s="90"/>
      <c r="J507" s="90"/>
      <c r="K507" s="90"/>
      <c r="L507" s="90"/>
      <c r="M507" s="91"/>
      <c r="N507" s="91"/>
      <c r="O507" s="91"/>
      <c r="P507" s="91"/>
      <c r="Q507" s="91"/>
      <c r="R507" s="91"/>
      <c r="S507" s="91"/>
      <c r="T507" s="91"/>
      <c r="U507" s="91"/>
      <c r="V507" s="91"/>
      <c r="W507" s="91"/>
      <c r="X507" s="91"/>
      <c r="Y507" s="91"/>
      <c r="Z507" s="91"/>
    </row>
    <row r="508" ht="24.0" customHeight="1">
      <c r="B508" s="90"/>
      <c r="C508" s="90"/>
      <c r="D508" s="90"/>
      <c r="E508" s="90"/>
      <c r="F508" s="90"/>
      <c r="G508" s="90"/>
      <c r="H508" s="90"/>
      <c r="I508" s="90"/>
      <c r="J508" s="90"/>
      <c r="K508" s="90"/>
      <c r="L508" s="90"/>
      <c r="M508" s="91"/>
      <c r="N508" s="91"/>
      <c r="O508" s="91"/>
      <c r="P508" s="91"/>
      <c r="Q508" s="91"/>
      <c r="R508" s="91"/>
      <c r="S508" s="91"/>
      <c r="T508" s="91"/>
      <c r="U508" s="91"/>
      <c r="V508" s="91"/>
      <c r="W508" s="91"/>
      <c r="X508" s="91"/>
      <c r="Y508" s="91"/>
      <c r="Z508" s="91"/>
    </row>
    <row r="509" ht="24.0" customHeight="1">
      <c r="B509" s="90"/>
      <c r="C509" s="90"/>
      <c r="D509" s="90"/>
      <c r="E509" s="90"/>
      <c r="F509" s="90"/>
      <c r="G509" s="90"/>
      <c r="H509" s="90"/>
      <c r="I509" s="90"/>
      <c r="J509" s="90"/>
      <c r="K509" s="90"/>
      <c r="L509" s="90"/>
      <c r="M509" s="91"/>
      <c r="N509" s="91"/>
      <c r="O509" s="91"/>
      <c r="P509" s="91"/>
      <c r="Q509" s="91"/>
      <c r="R509" s="91"/>
      <c r="S509" s="91"/>
      <c r="T509" s="91"/>
      <c r="U509" s="91"/>
      <c r="V509" s="91"/>
      <c r="W509" s="91"/>
      <c r="X509" s="91"/>
      <c r="Y509" s="91"/>
      <c r="Z509" s="91"/>
    </row>
    <row r="510" ht="24.0" customHeight="1">
      <c r="B510" s="90"/>
      <c r="C510" s="90"/>
      <c r="D510" s="90"/>
      <c r="E510" s="90"/>
      <c r="F510" s="90"/>
      <c r="G510" s="90"/>
      <c r="H510" s="90"/>
      <c r="I510" s="90"/>
      <c r="J510" s="90"/>
      <c r="K510" s="90"/>
      <c r="L510" s="90"/>
      <c r="M510" s="91"/>
      <c r="N510" s="91"/>
      <c r="O510" s="91"/>
      <c r="P510" s="91"/>
      <c r="Q510" s="91"/>
      <c r="R510" s="91"/>
      <c r="S510" s="91"/>
      <c r="T510" s="91"/>
      <c r="U510" s="91"/>
      <c r="V510" s="91"/>
      <c r="W510" s="91"/>
      <c r="X510" s="91"/>
      <c r="Y510" s="91"/>
      <c r="Z510" s="91"/>
    </row>
    <row r="511" ht="24.0" customHeight="1">
      <c r="B511" s="90"/>
      <c r="C511" s="90"/>
      <c r="D511" s="90"/>
      <c r="E511" s="90"/>
      <c r="F511" s="90"/>
      <c r="G511" s="90"/>
      <c r="H511" s="90"/>
      <c r="I511" s="90"/>
      <c r="J511" s="90"/>
      <c r="K511" s="90"/>
      <c r="L511" s="90"/>
      <c r="M511" s="91"/>
      <c r="N511" s="91"/>
      <c r="O511" s="91"/>
      <c r="P511" s="91"/>
      <c r="Q511" s="91"/>
      <c r="R511" s="91"/>
      <c r="S511" s="91"/>
      <c r="T511" s="91"/>
      <c r="U511" s="91"/>
      <c r="V511" s="91"/>
      <c r="W511" s="91"/>
      <c r="X511" s="91"/>
      <c r="Y511" s="91"/>
      <c r="Z511" s="91"/>
    </row>
    <row r="512" ht="24.0" customHeight="1">
      <c r="B512" s="90"/>
      <c r="C512" s="90"/>
      <c r="D512" s="90"/>
      <c r="E512" s="90"/>
      <c r="F512" s="90"/>
      <c r="G512" s="90"/>
      <c r="H512" s="90"/>
      <c r="I512" s="90"/>
      <c r="J512" s="90"/>
      <c r="K512" s="90"/>
      <c r="L512" s="90"/>
      <c r="M512" s="91"/>
      <c r="N512" s="91"/>
      <c r="O512" s="91"/>
      <c r="P512" s="91"/>
      <c r="Q512" s="91"/>
      <c r="R512" s="91"/>
      <c r="S512" s="91"/>
      <c r="T512" s="91"/>
      <c r="U512" s="91"/>
      <c r="V512" s="91"/>
      <c r="W512" s="91"/>
      <c r="X512" s="91"/>
      <c r="Y512" s="91"/>
      <c r="Z512" s="91"/>
    </row>
    <row r="513" ht="24.0" customHeight="1">
      <c r="B513" s="90"/>
      <c r="C513" s="90"/>
      <c r="D513" s="90"/>
      <c r="E513" s="90"/>
      <c r="F513" s="90"/>
      <c r="G513" s="90"/>
      <c r="H513" s="90"/>
      <c r="I513" s="90"/>
      <c r="J513" s="90"/>
      <c r="K513" s="90"/>
      <c r="L513" s="90"/>
      <c r="M513" s="91"/>
      <c r="N513" s="91"/>
      <c r="O513" s="91"/>
      <c r="P513" s="91"/>
      <c r="Q513" s="91"/>
      <c r="R513" s="91"/>
      <c r="S513" s="91"/>
      <c r="T513" s="91"/>
      <c r="U513" s="91"/>
      <c r="V513" s="91"/>
      <c r="W513" s="91"/>
      <c r="X513" s="91"/>
      <c r="Y513" s="91"/>
      <c r="Z513" s="91"/>
    </row>
    <row r="514" ht="24.0" customHeight="1">
      <c r="B514" s="90"/>
      <c r="C514" s="90"/>
      <c r="D514" s="90"/>
      <c r="E514" s="90"/>
      <c r="F514" s="90"/>
      <c r="G514" s="90"/>
      <c r="H514" s="90"/>
      <c r="I514" s="90"/>
      <c r="J514" s="90"/>
      <c r="K514" s="90"/>
      <c r="L514" s="90"/>
      <c r="M514" s="91"/>
      <c r="N514" s="91"/>
      <c r="O514" s="91"/>
      <c r="P514" s="91"/>
      <c r="Q514" s="91"/>
      <c r="R514" s="91"/>
      <c r="S514" s="91"/>
      <c r="T514" s="91"/>
      <c r="U514" s="91"/>
      <c r="V514" s="91"/>
      <c r="W514" s="91"/>
      <c r="X514" s="91"/>
      <c r="Y514" s="91"/>
      <c r="Z514" s="91"/>
    </row>
    <row r="515" ht="24.0" customHeight="1">
      <c r="B515" s="90"/>
      <c r="C515" s="90"/>
      <c r="D515" s="90"/>
      <c r="E515" s="90"/>
      <c r="F515" s="90"/>
      <c r="G515" s="90"/>
      <c r="H515" s="90"/>
      <c r="I515" s="90"/>
      <c r="J515" s="90"/>
      <c r="K515" s="90"/>
      <c r="L515" s="90"/>
      <c r="M515" s="91"/>
      <c r="N515" s="91"/>
      <c r="O515" s="91"/>
      <c r="P515" s="91"/>
      <c r="Q515" s="91"/>
      <c r="R515" s="91"/>
      <c r="S515" s="91"/>
      <c r="T515" s="91"/>
      <c r="U515" s="91"/>
      <c r="V515" s="91"/>
      <c r="W515" s="91"/>
      <c r="X515" s="91"/>
      <c r="Y515" s="91"/>
      <c r="Z515" s="91"/>
    </row>
    <row r="516" ht="24.0" customHeight="1">
      <c r="B516" s="90"/>
      <c r="C516" s="90"/>
      <c r="D516" s="90"/>
      <c r="E516" s="90"/>
      <c r="F516" s="90"/>
      <c r="G516" s="90"/>
      <c r="H516" s="90"/>
      <c r="I516" s="90"/>
      <c r="J516" s="90"/>
      <c r="K516" s="90"/>
      <c r="L516" s="90"/>
      <c r="M516" s="91"/>
      <c r="N516" s="91"/>
      <c r="O516" s="91"/>
      <c r="P516" s="91"/>
      <c r="Q516" s="91"/>
      <c r="R516" s="91"/>
      <c r="S516" s="91"/>
      <c r="T516" s="91"/>
      <c r="U516" s="91"/>
      <c r="V516" s="91"/>
      <c r="W516" s="91"/>
      <c r="X516" s="91"/>
      <c r="Y516" s="91"/>
      <c r="Z516" s="91"/>
    </row>
    <row r="517" ht="24.0" customHeight="1">
      <c r="B517" s="90"/>
      <c r="C517" s="90"/>
      <c r="D517" s="90"/>
      <c r="E517" s="90"/>
      <c r="F517" s="90"/>
      <c r="G517" s="90"/>
      <c r="H517" s="90"/>
      <c r="I517" s="90"/>
      <c r="J517" s="90"/>
      <c r="K517" s="90"/>
      <c r="L517" s="90"/>
      <c r="M517" s="91"/>
      <c r="N517" s="91"/>
      <c r="O517" s="91"/>
      <c r="P517" s="91"/>
      <c r="Q517" s="91"/>
      <c r="R517" s="91"/>
      <c r="S517" s="91"/>
      <c r="T517" s="91"/>
      <c r="U517" s="91"/>
      <c r="V517" s="91"/>
      <c r="W517" s="91"/>
      <c r="X517" s="91"/>
      <c r="Y517" s="91"/>
      <c r="Z517" s="91"/>
    </row>
    <row r="518" ht="24.0" customHeight="1">
      <c r="B518" s="90"/>
      <c r="C518" s="90"/>
      <c r="D518" s="90"/>
      <c r="E518" s="90"/>
      <c r="F518" s="90"/>
      <c r="G518" s="90"/>
      <c r="H518" s="90"/>
      <c r="I518" s="90"/>
      <c r="J518" s="90"/>
      <c r="K518" s="90"/>
      <c r="L518" s="90"/>
      <c r="M518" s="91"/>
      <c r="N518" s="91"/>
      <c r="O518" s="91"/>
      <c r="P518" s="91"/>
      <c r="Q518" s="91"/>
      <c r="R518" s="91"/>
      <c r="S518" s="91"/>
      <c r="T518" s="91"/>
      <c r="U518" s="91"/>
      <c r="V518" s="91"/>
      <c r="W518" s="91"/>
      <c r="X518" s="91"/>
      <c r="Y518" s="91"/>
      <c r="Z518" s="91"/>
    </row>
    <row r="519" ht="24.0" customHeight="1">
      <c r="B519" s="90"/>
      <c r="C519" s="90"/>
      <c r="D519" s="90"/>
      <c r="E519" s="90"/>
      <c r="F519" s="90"/>
      <c r="G519" s="90"/>
      <c r="H519" s="90"/>
      <c r="I519" s="90"/>
      <c r="J519" s="90"/>
      <c r="K519" s="90"/>
      <c r="L519" s="90"/>
      <c r="M519" s="91"/>
      <c r="N519" s="91"/>
      <c r="O519" s="91"/>
      <c r="P519" s="91"/>
      <c r="Q519" s="91"/>
      <c r="R519" s="91"/>
      <c r="S519" s="91"/>
      <c r="T519" s="91"/>
      <c r="U519" s="91"/>
      <c r="V519" s="91"/>
      <c r="W519" s="91"/>
      <c r="X519" s="91"/>
      <c r="Y519" s="91"/>
      <c r="Z519" s="91"/>
    </row>
    <row r="520" ht="24.0" customHeight="1">
      <c r="B520" s="90"/>
      <c r="C520" s="90"/>
      <c r="D520" s="90"/>
      <c r="E520" s="90"/>
      <c r="F520" s="90"/>
      <c r="G520" s="90"/>
      <c r="H520" s="90"/>
      <c r="I520" s="90"/>
      <c r="J520" s="90"/>
      <c r="K520" s="90"/>
      <c r="L520" s="90"/>
      <c r="M520" s="91"/>
      <c r="N520" s="91"/>
      <c r="O520" s="91"/>
      <c r="P520" s="91"/>
      <c r="Q520" s="91"/>
      <c r="R520" s="91"/>
      <c r="S520" s="91"/>
      <c r="T520" s="91"/>
      <c r="U520" s="91"/>
      <c r="V520" s="91"/>
      <c r="W520" s="91"/>
      <c r="X520" s="91"/>
      <c r="Y520" s="91"/>
      <c r="Z520" s="91"/>
    </row>
    <row r="521" ht="24.0" customHeight="1">
      <c r="B521" s="90"/>
      <c r="C521" s="90"/>
      <c r="D521" s="90"/>
      <c r="E521" s="90"/>
      <c r="F521" s="90"/>
      <c r="G521" s="90"/>
      <c r="H521" s="90"/>
      <c r="I521" s="90"/>
      <c r="J521" s="90"/>
      <c r="K521" s="90"/>
      <c r="L521" s="90"/>
      <c r="M521" s="91"/>
      <c r="N521" s="91"/>
      <c r="O521" s="91"/>
      <c r="P521" s="91"/>
      <c r="Q521" s="91"/>
      <c r="R521" s="91"/>
      <c r="S521" s="91"/>
      <c r="T521" s="91"/>
      <c r="U521" s="91"/>
      <c r="V521" s="91"/>
      <c r="W521" s="91"/>
      <c r="X521" s="91"/>
      <c r="Y521" s="91"/>
      <c r="Z521" s="91"/>
    </row>
    <row r="522" ht="24.0" customHeight="1">
      <c r="B522" s="90"/>
      <c r="C522" s="90"/>
      <c r="D522" s="90"/>
      <c r="E522" s="90"/>
      <c r="F522" s="90"/>
      <c r="G522" s="90"/>
      <c r="H522" s="90"/>
      <c r="I522" s="90"/>
      <c r="J522" s="90"/>
      <c r="K522" s="90"/>
      <c r="L522" s="90"/>
      <c r="M522" s="91"/>
      <c r="N522" s="91"/>
      <c r="O522" s="91"/>
      <c r="P522" s="91"/>
      <c r="Q522" s="91"/>
      <c r="R522" s="91"/>
      <c r="S522" s="91"/>
      <c r="T522" s="91"/>
      <c r="U522" s="91"/>
      <c r="V522" s="91"/>
      <c r="W522" s="91"/>
      <c r="X522" s="91"/>
      <c r="Y522" s="91"/>
      <c r="Z522" s="91"/>
    </row>
    <row r="523" ht="24.0" customHeight="1">
      <c r="B523" s="90"/>
      <c r="C523" s="90"/>
      <c r="D523" s="90"/>
      <c r="E523" s="90"/>
      <c r="F523" s="90"/>
      <c r="G523" s="90"/>
      <c r="H523" s="90"/>
      <c r="I523" s="90"/>
      <c r="J523" s="90"/>
      <c r="K523" s="90"/>
      <c r="L523" s="90"/>
      <c r="M523" s="91"/>
      <c r="N523" s="91"/>
      <c r="O523" s="91"/>
      <c r="P523" s="91"/>
      <c r="Q523" s="91"/>
      <c r="R523" s="91"/>
      <c r="S523" s="91"/>
      <c r="T523" s="91"/>
      <c r="U523" s="91"/>
      <c r="V523" s="91"/>
      <c r="W523" s="91"/>
      <c r="X523" s="91"/>
      <c r="Y523" s="91"/>
      <c r="Z523" s="91"/>
    </row>
    <row r="524" ht="24.0" customHeight="1">
      <c r="B524" s="90"/>
      <c r="C524" s="90"/>
      <c r="D524" s="90"/>
      <c r="E524" s="90"/>
      <c r="F524" s="90"/>
      <c r="G524" s="90"/>
      <c r="H524" s="90"/>
      <c r="I524" s="90"/>
      <c r="J524" s="90"/>
      <c r="K524" s="90"/>
      <c r="L524" s="90"/>
      <c r="M524" s="91"/>
      <c r="N524" s="91"/>
      <c r="O524" s="91"/>
      <c r="P524" s="91"/>
      <c r="Q524" s="91"/>
      <c r="R524" s="91"/>
      <c r="S524" s="91"/>
      <c r="T524" s="91"/>
      <c r="U524" s="91"/>
      <c r="V524" s="91"/>
      <c r="W524" s="91"/>
      <c r="X524" s="91"/>
      <c r="Y524" s="91"/>
      <c r="Z524" s="91"/>
    </row>
    <row r="525" ht="24.0" customHeight="1">
      <c r="B525" s="90"/>
      <c r="C525" s="90"/>
      <c r="D525" s="90"/>
      <c r="E525" s="90"/>
      <c r="F525" s="90"/>
      <c r="G525" s="90"/>
      <c r="H525" s="90"/>
      <c r="I525" s="90"/>
      <c r="J525" s="90"/>
      <c r="K525" s="90"/>
      <c r="L525" s="90"/>
      <c r="M525" s="91"/>
      <c r="N525" s="91"/>
      <c r="O525" s="91"/>
      <c r="P525" s="91"/>
      <c r="Q525" s="91"/>
      <c r="R525" s="91"/>
      <c r="S525" s="91"/>
      <c r="T525" s="91"/>
      <c r="U525" s="91"/>
      <c r="V525" s="91"/>
      <c r="W525" s="91"/>
      <c r="X525" s="91"/>
      <c r="Y525" s="91"/>
      <c r="Z525" s="91"/>
    </row>
    <row r="526" ht="24.0" customHeight="1">
      <c r="B526" s="90"/>
      <c r="C526" s="90"/>
      <c r="D526" s="90"/>
      <c r="E526" s="90"/>
      <c r="F526" s="90"/>
      <c r="G526" s="90"/>
      <c r="H526" s="90"/>
      <c r="I526" s="90"/>
      <c r="J526" s="90"/>
      <c r="K526" s="90"/>
      <c r="L526" s="90"/>
      <c r="M526" s="91"/>
      <c r="N526" s="91"/>
      <c r="O526" s="91"/>
      <c r="P526" s="91"/>
      <c r="Q526" s="91"/>
      <c r="R526" s="91"/>
      <c r="S526" s="91"/>
      <c r="T526" s="91"/>
      <c r="U526" s="91"/>
      <c r="V526" s="91"/>
      <c r="W526" s="91"/>
      <c r="X526" s="91"/>
      <c r="Y526" s="91"/>
      <c r="Z526" s="91"/>
    </row>
    <row r="527" ht="24.0" customHeight="1">
      <c r="B527" s="90"/>
      <c r="C527" s="90"/>
      <c r="D527" s="90"/>
      <c r="E527" s="90"/>
      <c r="F527" s="90"/>
      <c r="G527" s="90"/>
      <c r="H527" s="90"/>
      <c r="I527" s="90"/>
      <c r="J527" s="90"/>
      <c r="K527" s="90"/>
      <c r="L527" s="90"/>
      <c r="M527" s="91"/>
      <c r="N527" s="91"/>
      <c r="O527" s="91"/>
      <c r="P527" s="91"/>
      <c r="Q527" s="91"/>
      <c r="R527" s="91"/>
      <c r="S527" s="91"/>
      <c r="T527" s="91"/>
      <c r="U527" s="91"/>
      <c r="V527" s="91"/>
      <c r="W527" s="91"/>
      <c r="X527" s="91"/>
      <c r="Y527" s="91"/>
      <c r="Z527" s="91"/>
    </row>
    <row r="528" ht="24.0" customHeight="1">
      <c r="B528" s="90"/>
      <c r="C528" s="90"/>
      <c r="D528" s="90"/>
      <c r="E528" s="90"/>
      <c r="F528" s="90"/>
      <c r="G528" s="90"/>
      <c r="H528" s="90"/>
      <c r="I528" s="90"/>
      <c r="J528" s="90"/>
      <c r="K528" s="90"/>
      <c r="L528" s="90"/>
      <c r="M528" s="91"/>
      <c r="N528" s="91"/>
      <c r="O528" s="91"/>
      <c r="P528" s="91"/>
      <c r="Q528" s="91"/>
      <c r="R528" s="91"/>
      <c r="S528" s="91"/>
      <c r="T528" s="91"/>
      <c r="U528" s="91"/>
      <c r="V528" s="91"/>
      <c r="W528" s="91"/>
      <c r="X528" s="91"/>
      <c r="Y528" s="91"/>
      <c r="Z528" s="91"/>
    </row>
    <row r="529" ht="24.0" customHeight="1">
      <c r="B529" s="90"/>
      <c r="C529" s="90"/>
      <c r="D529" s="90"/>
      <c r="E529" s="90"/>
      <c r="F529" s="90"/>
      <c r="G529" s="90"/>
      <c r="H529" s="90"/>
      <c r="I529" s="90"/>
      <c r="J529" s="90"/>
      <c r="K529" s="90"/>
      <c r="L529" s="90"/>
      <c r="M529" s="91"/>
      <c r="N529" s="91"/>
      <c r="O529" s="91"/>
      <c r="P529" s="91"/>
      <c r="Q529" s="91"/>
      <c r="R529" s="91"/>
      <c r="S529" s="91"/>
      <c r="T529" s="91"/>
      <c r="U529" s="91"/>
      <c r="V529" s="91"/>
      <c r="W529" s="91"/>
      <c r="X529" s="91"/>
      <c r="Y529" s="91"/>
      <c r="Z529" s="91"/>
    </row>
    <row r="530" ht="24.0" customHeight="1">
      <c r="B530" s="90"/>
      <c r="C530" s="90"/>
      <c r="D530" s="90"/>
      <c r="E530" s="90"/>
      <c r="F530" s="90"/>
      <c r="G530" s="90"/>
      <c r="H530" s="90"/>
      <c r="I530" s="90"/>
      <c r="J530" s="90"/>
      <c r="K530" s="90"/>
      <c r="L530" s="90"/>
      <c r="M530" s="91"/>
      <c r="N530" s="91"/>
      <c r="O530" s="91"/>
      <c r="P530" s="91"/>
      <c r="Q530" s="91"/>
      <c r="R530" s="91"/>
      <c r="S530" s="91"/>
      <c r="T530" s="91"/>
      <c r="U530" s="91"/>
      <c r="V530" s="91"/>
      <c r="W530" s="91"/>
      <c r="X530" s="91"/>
      <c r="Y530" s="91"/>
      <c r="Z530" s="91"/>
    </row>
    <row r="531" ht="24.0" customHeight="1">
      <c r="B531" s="90"/>
      <c r="C531" s="90"/>
      <c r="D531" s="90"/>
      <c r="E531" s="90"/>
      <c r="F531" s="90"/>
      <c r="G531" s="90"/>
      <c r="H531" s="90"/>
      <c r="I531" s="90"/>
      <c r="J531" s="90"/>
      <c r="K531" s="90"/>
      <c r="L531" s="90"/>
      <c r="M531" s="91"/>
      <c r="N531" s="91"/>
      <c r="O531" s="91"/>
      <c r="P531" s="91"/>
      <c r="Q531" s="91"/>
      <c r="R531" s="91"/>
      <c r="S531" s="91"/>
      <c r="T531" s="91"/>
      <c r="U531" s="91"/>
      <c r="V531" s="91"/>
      <c r="W531" s="91"/>
      <c r="X531" s="91"/>
      <c r="Y531" s="91"/>
      <c r="Z531" s="91"/>
    </row>
    <row r="532" ht="24.0" customHeight="1">
      <c r="B532" s="90"/>
      <c r="C532" s="90"/>
      <c r="D532" s="90"/>
      <c r="E532" s="90"/>
      <c r="F532" s="90"/>
      <c r="G532" s="90"/>
      <c r="H532" s="90"/>
      <c r="I532" s="90"/>
      <c r="J532" s="90"/>
      <c r="K532" s="90"/>
      <c r="L532" s="90"/>
      <c r="M532" s="91"/>
      <c r="N532" s="91"/>
      <c r="O532" s="91"/>
      <c r="P532" s="91"/>
      <c r="Q532" s="91"/>
      <c r="R532" s="91"/>
      <c r="S532" s="91"/>
      <c r="T532" s="91"/>
      <c r="U532" s="91"/>
      <c r="V532" s="91"/>
      <c r="W532" s="91"/>
      <c r="X532" s="91"/>
      <c r="Y532" s="91"/>
      <c r="Z532" s="91"/>
    </row>
    <row r="533" ht="24.0" customHeight="1">
      <c r="B533" s="90"/>
      <c r="C533" s="90"/>
      <c r="D533" s="90"/>
      <c r="E533" s="90"/>
      <c r="F533" s="90"/>
      <c r="G533" s="90"/>
      <c r="H533" s="90"/>
      <c r="I533" s="90"/>
      <c r="J533" s="90"/>
      <c r="K533" s="90"/>
      <c r="L533" s="90"/>
      <c r="M533" s="91"/>
      <c r="N533" s="91"/>
      <c r="O533" s="91"/>
      <c r="P533" s="91"/>
      <c r="Q533" s="91"/>
      <c r="R533" s="91"/>
      <c r="S533" s="91"/>
      <c r="T533" s="91"/>
      <c r="U533" s="91"/>
      <c r="V533" s="91"/>
      <c r="W533" s="91"/>
      <c r="X533" s="91"/>
      <c r="Y533" s="91"/>
      <c r="Z533" s="91"/>
    </row>
    <row r="534" ht="24.0" customHeight="1">
      <c r="B534" s="90"/>
      <c r="C534" s="90"/>
      <c r="D534" s="90"/>
      <c r="E534" s="90"/>
      <c r="F534" s="90"/>
      <c r="G534" s="90"/>
      <c r="H534" s="90"/>
      <c r="I534" s="90"/>
      <c r="J534" s="90"/>
      <c r="K534" s="90"/>
      <c r="L534" s="90"/>
      <c r="M534" s="91"/>
      <c r="N534" s="91"/>
      <c r="O534" s="91"/>
      <c r="P534" s="91"/>
      <c r="Q534" s="91"/>
      <c r="R534" s="91"/>
      <c r="S534" s="91"/>
      <c r="T534" s="91"/>
      <c r="U534" s="91"/>
      <c r="V534" s="91"/>
      <c r="W534" s="91"/>
      <c r="X534" s="91"/>
      <c r="Y534" s="91"/>
      <c r="Z534" s="91"/>
    </row>
    <row r="535" ht="24.0" customHeight="1">
      <c r="B535" s="90"/>
      <c r="C535" s="90"/>
      <c r="D535" s="90"/>
      <c r="E535" s="90"/>
      <c r="F535" s="90"/>
      <c r="G535" s="90"/>
      <c r="H535" s="90"/>
      <c r="I535" s="90"/>
      <c r="J535" s="90"/>
      <c r="K535" s="90"/>
      <c r="L535" s="90"/>
      <c r="M535" s="91"/>
      <c r="N535" s="91"/>
      <c r="O535" s="91"/>
      <c r="P535" s="91"/>
      <c r="Q535" s="91"/>
      <c r="R535" s="91"/>
      <c r="S535" s="91"/>
      <c r="T535" s="91"/>
      <c r="U535" s="91"/>
      <c r="V535" s="91"/>
      <c r="W535" s="91"/>
      <c r="X535" s="91"/>
      <c r="Y535" s="91"/>
      <c r="Z535" s="91"/>
    </row>
    <row r="536" ht="24.0" customHeight="1">
      <c r="B536" s="90"/>
      <c r="C536" s="90"/>
      <c r="D536" s="90"/>
      <c r="E536" s="90"/>
      <c r="F536" s="90"/>
      <c r="G536" s="90"/>
      <c r="H536" s="90"/>
      <c r="I536" s="90"/>
      <c r="J536" s="90"/>
      <c r="K536" s="90"/>
      <c r="L536" s="90"/>
      <c r="M536" s="91"/>
      <c r="N536" s="91"/>
      <c r="O536" s="91"/>
      <c r="P536" s="91"/>
      <c r="Q536" s="91"/>
      <c r="R536" s="91"/>
      <c r="S536" s="91"/>
      <c r="T536" s="91"/>
      <c r="U536" s="91"/>
      <c r="V536" s="91"/>
      <c r="W536" s="91"/>
      <c r="X536" s="91"/>
      <c r="Y536" s="91"/>
      <c r="Z536" s="91"/>
    </row>
    <row r="537" ht="24.0" customHeight="1">
      <c r="B537" s="90"/>
      <c r="C537" s="90"/>
      <c r="D537" s="90"/>
      <c r="E537" s="90"/>
      <c r="F537" s="90"/>
      <c r="G537" s="90"/>
      <c r="H537" s="90"/>
      <c r="I537" s="90"/>
      <c r="J537" s="90"/>
      <c r="K537" s="90"/>
      <c r="L537" s="90"/>
      <c r="M537" s="91"/>
      <c r="N537" s="91"/>
      <c r="O537" s="91"/>
      <c r="P537" s="91"/>
      <c r="Q537" s="91"/>
      <c r="R537" s="91"/>
      <c r="S537" s="91"/>
      <c r="T537" s="91"/>
      <c r="U537" s="91"/>
      <c r="V537" s="91"/>
      <c r="W537" s="91"/>
      <c r="X537" s="91"/>
      <c r="Y537" s="91"/>
      <c r="Z537" s="91"/>
    </row>
    <row r="538" ht="24.0" customHeight="1">
      <c r="B538" s="90"/>
      <c r="C538" s="90"/>
      <c r="D538" s="90"/>
      <c r="E538" s="90"/>
      <c r="F538" s="90"/>
      <c r="G538" s="90"/>
      <c r="H538" s="90"/>
      <c r="I538" s="90"/>
      <c r="J538" s="90"/>
      <c r="K538" s="90"/>
      <c r="L538" s="90"/>
      <c r="M538" s="91"/>
      <c r="N538" s="91"/>
      <c r="O538" s="91"/>
      <c r="P538" s="91"/>
      <c r="Q538" s="91"/>
      <c r="R538" s="91"/>
      <c r="S538" s="91"/>
      <c r="T538" s="91"/>
      <c r="U538" s="91"/>
      <c r="V538" s="91"/>
      <c r="W538" s="91"/>
      <c r="X538" s="91"/>
      <c r="Y538" s="91"/>
      <c r="Z538" s="91"/>
    </row>
    <row r="539" ht="24.0" customHeight="1">
      <c r="B539" s="90"/>
      <c r="C539" s="90"/>
      <c r="D539" s="90"/>
      <c r="E539" s="90"/>
      <c r="F539" s="90"/>
      <c r="G539" s="90"/>
      <c r="H539" s="90"/>
      <c r="I539" s="90"/>
      <c r="J539" s="90"/>
      <c r="K539" s="90"/>
      <c r="L539" s="90"/>
      <c r="M539" s="91"/>
      <c r="N539" s="91"/>
      <c r="O539" s="91"/>
      <c r="P539" s="91"/>
      <c r="Q539" s="91"/>
      <c r="R539" s="91"/>
      <c r="S539" s="91"/>
      <c r="T539" s="91"/>
      <c r="U539" s="91"/>
      <c r="V539" s="91"/>
      <c r="W539" s="91"/>
      <c r="X539" s="91"/>
      <c r="Y539" s="91"/>
      <c r="Z539" s="91"/>
    </row>
    <row r="540" ht="24.0" customHeight="1">
      <c r="B540" s="90"/>
      <c r="C540" s="90"/>
      <c r="D540" s="90"/>
      <c r="E540" s="90"/>
      <c r="F540" s="90"/>
      <c r="G540" s="90"/>
      <c r="H540" s="90"/>
      <c r="I540" s="90"/>
      <c r="J540" s="90"/>
      <c r="K540" s="90"/>
      <c r="L540" s="90"/>
      <c r="M540" s="91"/>
      <c r="N540" s="91"/>
      <c r="O540" s="91"/>
      <c r="P540" s="91"/>
      <c r="Q540" s="91"/>
      <c r="R540" s="91"/>
      <c r="S540" s="91"/>
      <c r="T540" s="91"/>
      <c r="U540" s="91"/>
      <c r="V540" s="91"/>
      <c r="W540" s="91"/>
      <c r="X540" s="91"/>
      <c r="Y540" s="91"/>
      <c r="Z540" s="91"/>
    </row>
    <row r="541" ht="24.0" customHeight="1">
      <c r="B541" s="90"/>
      <c r="C541" s="90"/>
      <c r="D541" s="90"/>
      <c r="E541" s="90"/>
      <c r="F541" s="90"/>
      <c r="G541" s="90"/>
      <c r="H541" s="90"/>
      <c r="I541" s="90"/>
      <c r="J541" s="90"/>
      <c r="K541" s="90"/>
      <c r="L541" s="90"/>
      <c r="M541" s="91"/>
      <c r="N541" s="91"/>
      <c r="O541" s="91"/>
      <c r="P541" s="91"/>
      <c r="Q541" s="91"/>
      <c r="R541" s="91"/>
      <c r="S541" s="91"/>
      <c r="T541" s="91"/>
      <c r="U541" s="91"/>
      <c r="V541" s="91"/>
      <c r="W541" s="91"/>
      <c r="X541" s="91"/>
      <c r="Y541" s="91"/>
      <c r="Z541" s="91"/>
    </row>
    <row r="542" ht="24.0" customHeight="1">
      <c r="B542" s="90"/>
      <c r="C542" s="90"/>
      <c r="D542" s="90"/>
      <c r="E542" s="90"/>
      <c r="F542" s="90"/>
      <c r="G542" s="90"/>
      <c r="H542" s="90"/>
      <c r="I542" s="90"/>
      <c r="J542" s="90"/>
      <c r="K542" s="90"/>
      <c r="L542" s="90"/>
      <c r="M542" s="91"/>
      <c r="N542" s="91"/>
      <c r="O542" s="91"/>
      <c r="P542" s="91"/>
      <c r="Q542" s="91"/>
      <c r="R542" s="91"/>
      <c r="S542" s="91"/>
      <c r="T542" s="91"/>
      <c r="U542" s="91"/>
      <c r="V542" s="91"/>
      <c r="W542" s="91"/>
      <c r="X542" s="91"/>
      <c r="Y542" s="91"/>
      <c r="Z542" s="91"/>
    </row>
    <row r="543" ht="24.0" customHeight="1">
      <c r="B543" s="90"/>
      <c r="C543" s="90"/>
      <c r="D543" s="90"/>
      <c r="E543" s="90"/>
      <c r="F543" s="90"/>
      <c r="G543" s="90"/>
      <c r="H543" s="90"/>
      <c r="I543" s="90"/>
      <c r="J543" s="90"/>
      <c r="K543" s="90"/>
      <c r="L543" s="90"/>
      <c r="M543" s="91"/>
      <c r="N543" s="91"/>
      <c r="O543" s="91"/>
      <c r="P543" s="91"/>
      <c r="Q543" s="91"/>
      <c r="R543" s="91"/>
      <c r="S543" s="91"/>
      <c r="T543" s="91"/>
      <c r="U543" s="91"/>
      <c r="V543" s="91"/>
      <c r="W543" s="91"/>
      <c r="X543" s="91"/>
      <c r="Y543" s="91"/>
      <c r="Z543" s="91"/>
    </row>
    <row r="544" ht="24.0" customHeight="1">
      <c r="B544" s="90"/>
      <c r="C544" s="90"/>
      <c r="D544" s="90"/>
      <c r="E544" s="90"/>
      <c r="F544" s="90"/>
      <c r="G544" s="90"/>
      <c r="H544" s="90"/>
      <c r="I544" s="90"/>
      <c r="J544" s="90"/>
      <c r="K544" s="90"/>
      <c r="L544" s="90"/>
      <c r="M544" s="91"/>
      <c r="N544" s="91"/>
      <c r="O544" s="91"/>
      <c r="P544" s="91"/>
      <c r="Q544" s="91"/>
      <c r="R544" s="91"/>
      <c r="S544" s="91"/>
      <c r="T544" s="91"/>
      <c r="U544" s="91"/>
      <c r="V544" s="91"/>
      <c r="W544" s="91"/>
      <c r="X544" s="91"/>
      <c r="Y544" s="91"/>
      <c r="Z544" s="91"/>
    </row>
    <row r="545" ht="24.0" customHeight="1">
      <c r="B545" s="90"/>
      <c r="C545" s="90"/>
      <c r="D545" s="90"/>
      <c r="E545" s="90"/>
      <c r="F545" s="90"/>
      <c r="G545" s="90"/>
      <c r="H545" s="90"/>
      <c r="I545" s="90"/>
      <c r="J545" s="90"/>
      <c r="K545" s="90"/>
      <c r="L545" s="90"/>
      <c r="M545" s="91"/>
      <c r="N545" s="91"/>
      <c r="O545" s="91"/>
      <c r="P545" s="91"/>
      <c r="Q545" s="91"/>
      <c r="R545" s="91"/>
      <c r="S545" s="91"/>
      <c r="T545" s="91"/>
      <c r="U545" s="91"/>
      <c r="V545" s="91"/>
      <c r="W545" s="91"/>
      <c r="X545" s="91"/>
      <c r="Y545" s="91"/>
      <c r="Z545" s="91"/>
    </row>
    <row r="546" ht="24.0" customHeight="1">
      <c r="B546" s="90"/>
      <c r="C546" s="90"/>
      <c r="D546" s="90"/>
      <c r="E546" s="90"/>
      <c r="F546" s="90"/>
      <c r="G546" s="90"/>
      <c r="H546" s="90"/>
      <c r="I546" s="90"/>
      <c r="J546" s="90"/>
      <c r="K546" s="90"/>
      <c r="L546" s="90"/>
      <c r="M546" s="91"/>
      <c r="N546" s="91"/>
      <c r="O546" s="91"/>
      <c r="P546" s="91"/>
      <c r="Q546" s="91"/>
      <c r="R546" s="91"/>
      <c r="S546" s="91"/>
      <c r="T546" s="91"/>
      <c r="U546" s="91"/>
      <c r="V546" s="91"/>
      <c r="W546" s="91"/>
      <c r="X546" s="91"/>
      <c r="Y546" s="91"/>
      <c r="Z546" s="91"/>
    </row>
    <row r="547" ht="24.0" customHeight="1">
      <c r="B547" s="90"/>
      <c r="C547" s="90"/>
      <c r="D547" s="90"/>
      <c r="E547" s="90"/>
      <c r="F547" s="90"/>
      <c r="G547" s="90"/>
      <c r="H547" s="90"/>
      <c r="I547" s="90"/>
      <c r="J547" s="90"/>
      <c r="K547" s="90"/>
      <c r="L547" s="90"/>
      <c r="M547" s="91"/>
      <c r="N547" s="91"/>
      <c r="O547" s="91"/>
      <c r="P547" s="91"/>
      <c r="Q547" s="91"/>
      <c r="R547" s="91"/>
      <c r="S547" s="91"/>
      <c r="T547" s="91"/>
      <c r="U547" s="91"/>
      <c r="V547" s="91"/>
      <c r="W547" s="91"/>
      <c r="X547" s="91"/>
      <c r="Y547" s="91"/>
      <c r="Z547" s="91"/>
    </row>
    <row r="548" ht="24.0" customHeight="1">
      <c r="B548" s="90"/>
      <c r="C548" s="90"/>
      <c r="D548" s="90"/>
      <c r="E548" s="90"/>
      <c r="F548" s="90"/>
      <c r="G548" s="90"/>
      <c r="H548" s="90"/>
      <c r="I548" s="90"/>
      <c r="J548" s="90"/>
      <c r="K548" s="90"/>
      <c r="L548" s="90"/>
      <c r="M548" s="91"/>
      <c r="N548" s="91"/>
      <c r="O548" s="91"/>
      <c r="P548" s="91"/>
      <c r="Q548" s="91"/>
      <c r="R548" s="91"/>
      <c r="S548" s="91"/>
      <c r="T548" s="91"/>
      <c r="U548" s="91"/>
      <c r="V548" s="91"/>
      <c r="W548" s="91"/>
      <c r="X548" s="91"/>
      <c r="Y548" s="91"/>
      <c r="Z548" s="91"/>
    </row>
    <row r="549" ht="24.0" customHeight="1">
      <c r="B549" s="90"/>
      <c r="C549" s="90"/>
      <c r="D549" s="90"/>
      <c r="E549" s="90"/>
      <c r="F549" s="90"/>
      <c r="G549" s="90"/>
      <c r="H549" s="90"/>
      <c r="I549" s="90"/>
      <c r="J549" s="90"/>
      <c r="K549" s="90"/>
      <c r="L549" s="90"/>
      <c r="M549" s="91"/>
      <c r="N549" s="91"/>
      <c r="O549" s="91"/>
      <c r="P549" s="91"/>
      <c r="Q549" s="91"/>
      <c r="R549" s="91"/>
      <c r="S549" s="91"/>
      <c r="T549" s="91"/>
      <c r="U549" s="91"/>
      <c r="V549" s="91"/>
      <c r="W549" s="91"/>
      <c r="X549" s="91"/>
      <c r="Y549" s="91"/>
      <c r="Z549" s="91"/>
    </row>
    <row r="550" ht="24.0" customHeight="1">
      <c r="B550" s="90"/>
      <c r="C550" s="90"/>
      <c r="D550" s="90"/>
      <c r="E550" s="90"/>
      <c r="F550" s="90"/>
      <c r="G550" s="90"/>
      <c r="H550" s="90"/>
      <c r="I550" s="90"/>
      <c r="J550" s="90"/>
      <c r="K550" s="90"/>
      <c r="L550" s="90"/>
      <c r="M550" s="91"/>
      <c r="N550" s="91"/>
      <c r="O550" s="91"/>
      <c r="P550" s="91"/>
      <c r="Q550" s="91"/>
      <c r="R550" s="91"/>
      <c r="S550" s="91"/>
      <c r="T550" s="91"/>
      <c r="U550" s="91"/>
      <c r="V550" s="91"/>
      <c r="W550" s="91"/>
      <c r="X550" s="91"/>
      <c r="Y550" s="91"/>
      <c r="Z550" s="91"/>
    </row>
    <row r="551" ht="24.0" customHeight="1">
      <c r="B551" s="90"/>
      <c r="C551" s="90"/>
      <c r="D551" s="90"/>
      <c r="E551" s="90"/>
      <c r="F551" s="90"/>
      <c r="G551" s="90"/>
      <c r="H551" s="90"/>
      <c r="I551" s="90"/>
      <c r="J551" s="90"/>
      <c r="K551" s="90"/>
      <c r="L551" s="90"/>
      <c r="M551" s="91"/>
      <c r="N551" s="91"/>
      <c r="O551" s="91"/>
      <c r="P551" s="91"/>
      <c r="Q551" s="91"/>
      <c r="R551" s="91"/>
      <c r="S551" s="91"/>
      <c r="T551" s="91"/>
      <c r="U551" s="91"/>
      <c r="V551" s="91"/>
      <c r="W551" s="91"/>
      <c r="X551" s="91"/>
      <c r="Y551" s="91"/>
      <c r="Z551" s="91"/>
    </row>
    <row r="552" ht="24.0" customHeight="1">
      <c r="B552" s="90"/>
      <c r="C552" s="90"/>
      <c r="D552" s="90"/>
      <c r="E552" s="90"/>
      <c r="F552" s="90"/>
      <c r="G552" s="90"/>
      <c r="H552" s="90"/>
      <c r="I552" s="90"/>
      <c r="J552" s="90"/>
      <c r="K552" s="90"/>
      <c r="L552" s="90"/>
      <c r="M552" s="91"/>
      <c r="N552" s="91"/>
      <c r="O552" s="91"/>
      <c r="P552" s="91"/>
      <c r="Q552" s="91"/>
      <c r="R552" s="91"/>
      <c r="S552" s="91"/>
      <c r="T552" s="91"/>
      <c r="U552" s="91"/>
      <c r="V552" s="91"/>
      <c r="W552" s="91"/>
      <c r="X552" s="91"/>
      <c r="Y552" s="91"/>
      <c r="Z552" s="91"/>
    </row>
    <row r="553" ht="24.0" customHeight="1">
      <c r="B553" s="90"/>
      <c r="C553" s="90"/>
      <c r="D553" s="90"/>
      <c r="E553" s="90"/>
      <c r="F553" s="90"/>
      <c r="G553" s="90"/>
      <c r="H553" s="90"/>
      <c r="I553" s="90"/>
      <c r="J553" s="90"/>
      <c r="K553" s="90"/>
      <c r="L553" s="90"/>
      <c r="M553" s="91"/>
      <c r="N553" s="91"/>
      <c r="O553" s="91"/>
      <c r="P553" s="91"/>
      <c r="Q553" s="91"/>
      <c r="R553" s="91"/>
      <c r="S553" s="91"/>
      <c r="T553" s="91"/>
      <c r="U553" s="91"/>
      <c r="V553" s="91"/>
      <c r="W553" s="91"/>
      <c r="X553" s="91"/>
      <c r="Y553" s="91"/>
      <c r="Z553" s="91"/>
    </row>
    <row r="554" ht="24.0" customHeight="1">
      <c r="B554" s="90"/>
      <c r="C554" s="90"/>
      <c r="D554" s="90"/>
      <c r="E554" s="90"/>
      <c r="F554" s="90"/>
      <c r="G554" s="90"/>
      <c r="H554" s="90"/>
      <c r="I554" s="90"/>
      <c r="J554" s="90"/>
      <c r="K554" s="90"/>
      <c r="L554" s="90"/>
      <c r="M554" s="91"/>
      <c r="N554" s="91"/>
      <c r="O554" s="91"/>
      <c r="P554" s="91"/>
      <c r="Q554" s="91"/>
      <c r="R554" s="91"/>
      <c r="S554" s="91"/>
      <c r="T554" s="91"/>
      <c r="U554" s="91"/>
      <c r="V554" s="91"/>
      <c r="W554" s="91"/>
      <c r="X554" s="91"/>
      <c r="Y554" s="91"/>
      <c r="Z554" s="91"/>
    </row>
    <row r="555" ht="24.0" customHeight="1">
      <c r="B555" s="90"/>
      <c r="C555" s="90"/>
      <c r="D555" s="90"/>
      <c r="E555" s="90"/>
      <c r="F555" s="90"/>
      <c r="G555" s="90"/>
      <c r="H555" s="90"/>
      <c r="I555" s="90"/>
      <c r="J555" s="90"/>
      <c r="K555" s="90"/>
      <c r="L555" s="90"/>
      <c r="M555" s="91"/>
      <c r="N555" s="91"/>
      <c r="O555" s="91"/>
      <c r="P555" s="91"/>
      <c r="Q555" s="91"/>
      <c r="R555" s="91"/>
      <c r="S555" s="91"/>
      <c r="T555" s="91"/>
      <c r="U555" s="91"/>
      <c r="V555" s="91"/>
      <c r="W555" s="91"/>
      <c r="X555" s="91"/>
      <c r="Y555" s="91"/>
      <c r="Z555" s="91"/>
    </row>
    <row r="556" ht="24.0" customHeight="1">
      <c r="B556" s="90"/>
      <c r="C556" s="90"/>
      <c r="D556" s="90"/>
      <c r="E556" s="90"/>
      <c r="F556" s="90"/>
      <c r="G556" s="90"/>
      <c r="H556" s="90"/>
      <c r="I556" s="90"/>
      <c r="J556" s="90"/>
      <c r="K556" s="90"/>
      <c r="L556" s="90"/>
      <c r="M556" s="91"/>
      <c r="N556" s="91"/>
      <c r="O556" s="91"/>
      <c r="P556" s="91"/>
      <c r="Q556" s="91"/>
      <c r="R556" s="91"/>
      <c r="S556" s="91"/>
      <c r="T556" s="91"/>
      <c r="U556" s="91"/>
      <c r="V556" s="91"/>
      <c r="W556" s="91"/>
      <c r="X556" s="91"/>
      <c r="Y556" s="91"/>
      <c r="Z556" s="91"/>
    </row>
    <row r="557" ht="24.0" customHeight="1">
      <c r="B557" s="90"/>
      <c r="C557" s="90"/>
      <c r="D557" s="90"/>
      <c r="E557" s="90"/>
      <c r="F557" s="90"/>
      <c r="G557" s="90"/>
      <c r="H557" s="90"/>
      <c r="I557" s="90"/>
      <c r="J557" s="90"/>
      <c r="K557" s="90"/>
      <c r="L557" s="90"/>
      <c r="M557" s="91"/>
      <c r="N557" s="91"/>
      <c r="O557" s="91"/>
      <c r="P557" s="91"/>
      <c r="Q557" s="91"/>
      <c r="R557" s="91"/>
      <c r="S557" s="91"/>
      <c r="T557" s="91"/>
      <c r="U557" s="91"/>
      <c r="V557" s="91"/>
      <c r="W557" s="91"/>
      <c r="X557" s="91"/>
      <c r="Y557" s="91"/>
      <c r="Z557" s="91"/>
    </row>
    <row r="558" ht="24.0" customHeight="1">
      <c r="B558" s="90"/>
      <c r="C558" s="90"/>
      <c r="D558" s="90"/>
      <c r="E558" s="90"/>
      <c r="F558" s="90"/>
      <c r="G558" s="90"/>
      <c r="H558" s="90"/>
      <c r="I558" s="90"/>
      <c r="J558" s="90"/>
      <c r="K558" s="90"/>
      <c r="L558" s="90"/>
      <c r="M558" s="91"/>
      <c r="N558" s="91"/>
      <c r="O558" s="91"/>
      <c r="P558" s="91"/>
      <c r="Q558" s="91"/>
      <c r="R558" s="91"/>
      <c r="S558" s="91"/>
      <c r="T558" s="91"/>
      <c r="U558" s="91"/>
      <c r="V558" s="91"/>
      <c r="W558" s="91"/>
      <c r="X558" s="91"/>
      <c r="Y558" s="91"/>
      <c r="Z558" s="91"/>
    </row>
    <row r="559" ht="24.0" customHeight="1">
      <c r="B559" s="90"/>
      <c r="C559" s="90"/>
      <c r="D559" s="90"/>
      <c r="E559" s="90"/>
      <c r="F559" s="90"/>
      <c r="G559" s="90"/>
      <c r="H559" s="90"/>
      <c r="I559" s="90"/>
      <c r="J559" s="90"/>
      <c r="K559" s="90"/>
      <c r="L559" s="90"/>
      <c r="M559" s="91"/>
      <c r="N559" s="91"/>
      <c r="O559" s="91"/>
      <c r="P559" s="91"/>
      <c r="Q559" s="91"/>
      <c r="R559" s="91"/>
      <c r="S559" s="91"/>
      <c r="T559" s="91"/>
      <c r="U559" s="91"/>
      <c r="V559" s="91"/>
      <c r="W559" s="91"/>
      <c r="X559" s="91"/>
      <c r="Y559" s="91"/>
      <c r="Z559" s="91"/>
    </row>
    <row r="560" ht="24.0" customHeight="1">
      <c r="B560" s="90"/>
      <c r="C560" s="90"/>
      <c r="D560" s="90"/>
      <c r="E560" s="90"/>
      <c r="F560" s="90"/>
      <c r="G560" s="90"/>
      <c r="H560" s="90"/>
      <c r="I560" s="90"/>
      <c r="J560" s="90"/>
      <c r="K560" s="90"/>
      <c r="L560" s="90"/>
      <c r="M560" s="91"/>
      <c r="N560" s="91"/>
      <c r="O560" s="91"/>
      <c r="P560" s="91"/>
      <c r="Q560" s="91"/>
      <c r="R560" s="91"/>
      <c r="S560" s="91"/>
      <c r="T560" s="91"/>
      <c r="U560" s="91"/>
      <c r="V560" s="91"/>
      <c r="W560" s="91"/>
      <c r="X560" s="91"/>
      <c r="Y560" s="91"/>
      <c r="Z560" s="91"/>
    </row>
    <row r="561" ht="24.0" customHeight="1">
      <c r="B561" s="90"/>
      <c r="C561" s="90"/>
      <c r="D561" s="90"/>
      <c r="E561" s="90"/>
      <c r="F561" s="90"/>
      <c r="G561" s="90"/>
      <c r="H561" s="90"/>
      <c r="I561" s="90"/>
      <c r="J561" s="90"/>
      <c r="K561" s="90"/>
      <c r="L561" s="90"/>
      <c r="M561" s="91"/>
      <c r="N561" s="91"/>
      <c r="O561" s="91"/>
      <c r="P561" s="91"/>
      <c r="Q561" s="91"/>
      <c r="R561" s="91"/>
      <c r="S561" s="91"/>
      <c r="T561" s="91"/>
      <c r="U561" s="91"/>
      <c r="V561" s="91"/>
      <c r="W561" s="91"/>
      <c r="X561" s="91"/>
      <c r="Y561" s="91"/>
      <c r="Z561" s="91"/>
    </row>
    <row r="562" ht="24.0" customHeight="1">
      <c r="B562" s="90"/>
      <c r="C562" s="90"/>
      <c r="D562" s="90"/>
      <c r="E562" s="90"/>
      <c r="F562" s="90"/>
      <c r="G562" s="90"/>
      <c r="H562" s="90"/>
      <c r="I562" s="90"/>
      <c r="J562" s="90"/>
      <c r="K562" s="90"/>
      <c r="L562" s="90"/>
      <c r="M562" s="91"/>
      <c r="N562" s="91"/>
      <c r="O562" s="91"/>
      <c r="P562" s="91"/>
      <c r="Q562" s="91"/>
      <c r="R562" s="91"/>
      <c r="S562" s="91"/>
      <c r="T562" s="91"/>
      <c r="U562" s="91"/>
      <c r="V562" s="91"/>
      <c r="W562" s="91"/>
      <c r="X562" s="91"/>
      <c r="Y562" s="91"/>
      <c r="Z562" s="91"/>
    </row>
    <row r="563" ht="24.0" customHeight="1">
      <c r="B563" s="90"/>
      <c r="C563" s="90"/>
      <c r="D563" s="90"/>
      <c r="E563" s="90"/>
      <c r="F563" s="90"/>
      <c r="G563" s="90"/>
      <c r="H563" s="90"/>
      <c r="I563" s="90"/>
      <c r="J563" s="90"/>
      <c r="K563" s="90"/>
      <c r="L563" s="90"/>
      <c r="M563" s="91"/>
      <c r="N563" s="91"/>
      <c r="O563" s="91"/>
      <c r="P563" s="91"/>
      <c r="Q563" s="91"/>
      <c r="R563" s="91"/>
      <c r="S563" s="91"/>
      <c r="T563" s="91"/>
      <c r="U563" s="91"/>
      <c r="V563" s="91"/>
      <c r="W563" s="91"/>
      <c r="X563" s="91"/>
      <c r="Y563" s="91"/>
      <c r="Z563" s="91"/>
    </row>
    <row r="564" ht="24.0" customHeight="1">
      <c r="B564" s="90"/>
      <c r="C564" s="90"/>
      <c r="D564" s="90"/>
      <c r="E564" s="90"/>
      <c r="F564" s="90"/>
      <c r="G564" s="90"/>
      <c r="H564" s="90"/>
      <c r="I564" s="90"/>
      <c r="J564" s="90"/>
      <c r="K564" s="90"/>
      <c r="L564" s="90"/>
      <c r="M564" s="91"/>
      <c r="N564" s="91"/>
      <c r="O564" s="91"/>
      <c r="P564" s="91"/>
      <c r="Q564" s="91"/>
      <c r="R564" s="91"/>
      <c r="S564" s="91"/>
      <c r="T564" s="91"/>
      <c r="U564" s="91"/>
      <c r="V564" s="91"/>
      <c r="W564" s="91"/>
      <c r="X564" s="91"/>
      <c r="Y564" s="91"/>
      <c r="Z564" s="91"/>
    </row>
    <row r="565" ht="24.0" customHeight="1">
      <c r="B565" s="90"/>
      <c r="C565" s="90"/>
      <c r="D565" s="90"/>
      <c r="E565" s="90"/>
      <c r="F565" s="90"/>
      <c r="G565" s="90"/>
      <c r="H565" s="90"/>
      <c r="I565" s="90"/>
      <c r="J565" s="90"/>
      <c r="K565" s="90"/>
      <c r="L565" s="90"/>
      <c r="M565" s="91"/>
      <c r="N565" s="91"/>
      <c r="O565" s="91"/>
      <c r="P565" s="91"/>
      <c r="Q565" s="91"/>
      <c r="R565" s="91"/>
      <c r="S565" s="91"/>
      <c r="T565" s="91"/>
      <c r="U565" s="91"/>
      <c r="V565" s="91"/>
      <c r="W565" s="91"/>
      <c r="X565" s="91"/>
      <c r="Y565" s="91"/>
      <c r="Z565" s="91"/>
    </row>
    <row r="566" ht="24.0" customHeight="1">
      <c r="B566" s="90"/>
      <c r="C566" s="90"/>
      <c r="D566" s="90"/>
      <c r="E566" s="90"/>
      <c r="F566" s="90"/>
      <c r="G566" s="90"/>
      <c r="H566" s="90"/>
      <c r="I566" s="90"/>
      <c r="J566" s="90"/>
      <c r="K566" s="90"/>
      <c r="L566" s="90"/>
      <c r="M566" s="91"/>
      <c r="N566" s="91"/>
      <c r="O566" s="91"/>
      <c r="P566" s="91"/>
      <c r="Q566" s="91"/>
      <c r="R566" s="91"/>
      <c r="S566" s="91"/>
      <c r="T566" s="91"/>
      <c r="U566" s="91"/>
      <c r="V566" s="91"/>
      <c r="W566" s="91"/>
      <c r="X566" s="91"/>
      <c r="Y566" s="91"/>
      <c r="Z566" s="91"/>
    </row>
    <row r="567" ht="24.0" customHeight="1">
      <c r="B567" s="90"/>
      <c r="C567" s="90"/>
      <c r="D567" s="90"/>
      <c r="E567" s="90"/>
      <c r="F567" s="90"/>
      <c r="G567" s="90"/>
      <c r="H567" s="90"/>
      <c r="I567" s="90"/>
      <c r="J567" s="90"/>
      <c r="K567" s="90"/>
      <c r="L567" s="90"/>
      <c r="M567" s="91"/>
      <c r="N567" s="91"/>
      <c r="O567" s="91"/>
      <c r="P567" s="91"/>
      <c r="Q567" s="91"/>
      <c r="R567" s="91"/>
      <c r="S567" s="91"/>
      <c r="T567" s="91"/>
      <c r="U567" s="91"/>
      <c r="V567" s="91"/>
      <c r="W567" s="91"/>
      <c r="X567" s="91"/>
      <c r="Y567" s="91"/>
      <c r="Z567" s="91"/>
    </row>
    <row r="568" ht="24.0" customHeight="1">
      <c r="B568" s="90"/>
      <c r="C568" s="90"/>
      <c r="D568" s="90"/>
      <c r="E568" s="90"/>
      <c r="F568" s="90"/>
      <c r="G568" s="90"/>
      <c r="H568" s="90"/>
      <c r="I568" s="90"/>
      <c r="J568" s="90"/>
      <c r="K568" s="90"/>
      <c r="L568" s="90"/>
      <c r="M568" s="91"/>
      <c r="N568" s="91"/>
      <c r="O568" s="91"/>
      <c r="P568" s="91"/>
      <c r="Q568" s="91"/>
      <c r="R568" s="91"/>
      <c r="S568" s="91"/>
      <c r="T568" s="91"/>
      <c r="U568" s="91"/>
      <c r="V568" s="91"/>
      <c r="W568" s="91"/>
      <c r="X568" s="91"/>
      <c r="Y568" s="91"/>
      <c r="Z568" s="91"/>
    </row>
    <row r="569" ht="24.0" customHeight="1">
      <c r="B569" s="90"/>
      <c r="C569" s="90"/>
      <c r="D569" s="90"/>
      <c r="E569" s="90"/>
      <c r="F569" s="90"/>
      <c r="G569" s="90"/>
      <c r="H569" s="90"/>
      <c r="I569" s="90"/>
      <c r="J569" s="90"/>
      <c r="K569" s="90"/>
      <c r="L569" s="90"/>
      <c r="M569" s="91"/>
      <c r="N569" s="91"/>
      <c r="O569" s="91"/>
      <c r="P569" s="91"/>
      <c r="Q569" s="91"/>
      <c r="R569" s="91"/>
      <c r="S569" s="91"/>
      <c r="T569" s="91"/>
      <c r="U569" s="91"/>
      <c r="V569" s="91"/>
      <c r="W569" s="91"/>
      <c r="X569" s="91"/>
      <c r="Y569" s="91"/>
      <c r="Z569" s="91"/>
    </row>
    <row r="570" ht="24.0" customHeight="1">
      <c r="B570" s="90"/>
      <c r="C570" s="90"/>
      <c r="D570" s="90"/>
      <c r="E570" s="90"/>
      <c r="F570" s="90"/>
      <c r="G570" s="90"/>
      <c r="H570" s="90"/>
      <c r="I570" s="90"/>
      <c r="J570" s="90"/>
      <c r="K570" s="90"/>
      <c r="L570" s="90"/>
      <c r="M570" s="91"/>
      <c r="N570" s="91"/>
      <c r="O570" s="91"/>
      <c r="P570" s="91"/>
      <c r="Q570" s="91"/>
      <c r="R570" s="91"/>
      <c r="S570" s="91"/>
      <c r="T570" s="91"/>
      <c r="U570" s="91"/>
      <c r="V570" s="91"/>
      <c r="W570" s="91"/>
      <c r="X570" s="91"/>
      <c r="Y570" s="91"/>
      <c r="Z570" s="91"/>
    </row>
    <row r="571" ht="24.0" customHeight="1">
      <c r="B571" s="90"/>
      <c r="C571" s="90"/>
      <c r="D571" s="90"/>
      <c r="E571" s="90"/>
      <c r="F571" s="90"/>
      <c r="G571" s="90"/>
      <c r="H571" s="90"/>
      <c r="I571" s="90"/>
      <c r="J571" s="90"/>
      <c r="K571" s="90"/>
      <c r="L571" s="90"/>
      <c r="M571" s="91"/>
      <c r="N571" s="91"/>
      <c r="O571" s="91"/>
      <c r="P571" s="91"/>
      <c r="Q571" s="91"/>
      <c r="R571" s="91"/>
      <c r="S571" s="91"/>
      <c r="T571" s="91"/>
      <c r="U571" s="91"/>
      <c r="V571" s="91"/>
      <c r="W571" s="91"/>
      <c r="X571" s="91"/>
      <c r="Y571" s="91"/>
      <c r="Z571" s="91"/>
    </row>
    <row r="572" ht="24.0" customHeight="1">
      <c r="B572" s="90"/>
      <c r="C572" s="90"/>
      <c r="D572" s="90"/>
      <c r="E572" s="90"/>
      <c r="F572" s="90"/>
      <c r="G572" s="90"/>
      <c r="H572" s="90"/>
      <c r="I572" s="90"/>
      <c r="J572" s="90"/>
      <c r="K572" s="90"/>
      <c r="L572" s="90"/>
      <c r="M572" s="91"/>
      <c r="N572" s="91"/>
      <c r="O572" s="91"/>
      <c r="P572" s="91"/>
      <c r="Q572" s="91"/>
      <c r="R572" s="91"/>
      <c r="S572" s="91"/>
      <c r="T572" s="91"/>
      <c r="U572" s="91"/>
      <c r="V572" s="91"/>
      <c r="W572" s="91"/>
      <c r="X572" s="91"/>
      <c r="Y572" s="91"/>
      <c r="Z572" s="91"/>
    </row>
    <row r="573" ht="24.0" customHeight="1">
      <c r="B573" s="90"/>
      <c r="C573" s="90"/>
      <c r="D573" s="90"/>
      <c r="E573" s="90"/>
      <c r="F573" s="90"/>
      <c r="G573" s="90"/>
      <c r="H573" s="90"/>
      <c r="I573" s="90"/>
      <c r="J573" s="90"/>
      <c r="K573" s="90"/>
      <c r="L573" s="90"/>
      <c r="M573" s="91"/>
      <c r="N573" s="91"/>
      <c r="O573" s="91"/>
      <c r="P573" s="91"/>
      <c r="Q573" s="91"/>
      <c r="R573" s="91"/>
      <c r="S573" s="91"/>
      <c r="T573" s="91"/>
      <c r="U573" s="91"/>
      <c r="V573" s="91"/>
      <c r="W573" s="91"/>
      <c r="X573" s="91"/>
      <c r="Y573" s="91"/>
      <c r="Z573" s="91"/>
    </row>
    <row r="574" ht="24.0" customHeight="1">
      <c r="B574" s="90"/>
      <c r="C574" s="90"/>
      <c r="D574" s="90"/>
      <c r="E574" s="90"/>
      <c r="F574" s="90"/>
      <c r="G574" s="90"/>
      <c r="H574" s="90"/>
      <c r="I574" s="90"/>
      <c r="J574" s="90"/>
      <c r="K574" s="90"/>
      <c r="L574" s="90"/>
      <c r="M574" s="91"/>
      <c r="N574" s="91"/>
      <c r="O574" s="91"/>
      <c r="P574" s="91"/>
      <c r="Q574" s="91"/>
      <c r="R574" s="91"/>
      <c r="S574" s="91"/>
      <c r="T574" s="91"/>
      <c r="U574" s="91"/>
      <c r="V574" s="91"/>
      <c r="W574" s="91"/>
      <c r="X574" s="91"/>
      <c r="Y574" s="91"/>
      <c r="Z574" s="91"/>
    </row>
    <row r="575" ht="24.0" customHeight="1">
      <c r="B575" s="90"/>
      <c r="C575" s="90"/>
      <c r="D575" s="90"/>
      <c r="E575" s="90"/>
      <c r="F575" s="90"/>
      <c r="G575" s="90"/>
      <c r="H575" s="90"/>
      <c r="I575" s="90"/>
      <c r="J575" s="90"/>
      <c r="K575" s="90"/>
      <c r="L575" s="90"/>
      <c r="M575" s="91"/>
      <c r="N575" s="91"/>
      <c r="O575" s="91"/>
      <c r="P575" s="91"/>
      <c r="Q575" s="91"/>
      <c r="R575" s="91"/>
      <c r="S575" s="91"/>
      <c r="T575" s="91"/>
      <c r="U575" s="91"/>
      <c r="V575" s="91"/>
      <c r="W575" s="91"/>
      <c r="X575" s="91"/>
      <c r="Y575" s="91"/>
      <c r="Z575" s="91"/>
    </row>
    <row r="576" ht="24.0" customHeight="1">
      <c r="B576" s="90"/>
      <c r="C576" s="90"/>
      <c r="D576" s="90"/>
      <c r="E576" s="90"/>
      <c r="F576" s="90"/>
      <c r="G576" s="90"/>
      <c r="H576" s="90"/>
      <c r="I576" s="90"/>
      <c r="J576" s="90"/>
      <c r="K576" s="90"/>
      <c r="L576" s="90"/>
      <c r="M576" s="91"/>
      <c r="N576" s="91"/>
      <c r="O576" s="91"/>
      <c r="P576" s="91"/>
      <c r="Q576" s="91"/>
      <c r="R576" s="91"/>
      <c r="S576" s="91"/>
      <c r="T576" s="91"/>
      <c r="U576" s="91"/>
      <c r="V576" s="91"/>
      <c r="W576" s="91"/>
      <c r="X576" s="91"/>
      <c r="Y576" s="91"/>
      <c r="Z576" s="91"/>
    </row>
    <row r="577" ht="24.0" customHeight="1">
      <c r="B577" s="90"/>
      <c r="C577" s="90"/>
      <c r="D577" s="90"/>
      <c r="E577" s="90"/>
      <c r="F577" s="90"/>
      <c r="G577" s="90"/>
      <c r="H577" s="90"/>
      <c r="I577" s="90"/>
      <c r="J577" s="90"/>
      <c r="K577" s="90"/>
      <c r="L577" s="90"/>
      <c r="M577" s="91"/>
      <c r="N577" s="91"/>
      <c r="O577" s="91"/>
      <c r="P577" s="91"/>
      <c r="Q577" s="91"/>
      <c r="R577" s="91"/>
      <c r="S577" s="91"/>
      <c r="T577" s="91"/>
      <c r="U577" s="91"/>
      <c r="V577" s="91"/>
      <c r="W577" s="91"/>
      <c r="X577" s="91"/>
      <c r="Y577" s="91"/>
      <c r="Z577" s="91"/>
    </row>
    <row r="578" ht="24.0" customHeight="1">
      <c r="B578" s="90"/>
      <c r="C578" s="90"/>
      <c r="D578" s="90"/>
      <c r="E578" s="90"/>
      <c r="F578" s="90"/>
      <c r="G578" s="90"/>
      <c r="H578" s="90"/>
      <c r="I578" s="90"/>
      <c r="J578" s="90"/>
      <c r="K578" s="90"/>
      <c r="L578" s="90"/>
      <c r="M578" s="91"/>
      <c r="N578" s="91"/>
      <c r="O578" s="91"/>
      <c r="P578" s="91"/>
      <c r="Q578" s="91"/>
      <c r="R578" s="91"/>
      <c r="S578" s="91"/>
      <c r="T578" s="91"/>
      <c r="U578" s="91"/>
      <c r="V578" s="91"/>
      <c r="W578" s="91"/>
      <c r="X578" s="91"/>
      <c r="Y578" s="91"/>
      <c r="Z578" s="91"/>
    </row>
    <row r="579" ht="24.0" customHeight="1">
      <c r="B579" s="90"/>
      <c r="C579" s="90"/>
      <c r="D579" s="90"/>
      <c r="E579" s="90"/>
      <c r="F579" s="90"/>
      <c r="G579" s="90"/>
      <c r="H579" s="90"/>
      <c r="I579" s="90"/>
      <c r="J579" s="90"/>
      <c r="K579" s="90"/>
      <c r="L579" s="90"/>
      <c r="M579" s="91"/>
      <c r="N579" s="91"/>
      <c r="O579" s="91"/>
      <c r="P579" s="91"/>
      <c r="Q579" s="91"/>
      <c r="R579" s="91"/>
      <c r="S579" s="91"/>
      <c r="T579" s="91"/>
      <c r="U579" s="91"/>
      <c r="V579" s="91"/>
      <c r="W579" s="91"/>
      <c r="X579" s="91"/>
      <c r="Y579" s="91"/>
      <c r="Z579" s="91"/>
    </row>
    <row r="580" ht="24.0" customHeight="1">
      <c r="B580" s="90"/>
      <c r="C580" s="90"/>
      <c r="D580" s="90"/>
      <c r="E580" s="90"/>
      <c r="F580" s="90"/>
      <c r="G580" s="90"/>
      <c r="H580" s="90"/>
      <c r="I580" s="90"/>
      <c r="J580" s="90"/>
      <c r="K580" s="90"/>
      <c r="L580" s="90"/>
      <c r="M580" s="91"/>
      <c r="N580" s="91"/>
      <c r="O580" s="91"/>
      <c r="P580" s="91"/>
      <c r="Q580" s="91"/>
      <c r="R580" s="91"/>
      <c r="S580" s="91"/>
      <c r="T580" s="91"/>
      <c r="U580" s="91"/>
      <c r="V580" s="91"/>
      <c r="W580" s="91"/>
      <c r="X580" s="91"/>
      <c r="Y580" s="91"/>
      <c r="Z580" s="91"/>
    </row>
    <row r="581" ht="24.0" customHeight="1">
      <c r="B581" s="90"/>
      <c r="C581" s="90"/>
      <c r="D581" s="90"/>
      <c r="E581" s="90"/>
      <c r="F581" s="90"/>
      <c r="G581" s="90"/>
      <c r="H581" s="90"/>
      <c r="I581" s="90"/>
      <c r="J581" s="90"/>
      <c r="K581" s="90"/>
      <c r="L581" s="90"/>
      <c r="M581" s="91"/>
      <c r="N581" s="91"/>
      <c r="O581" s="91"/>
      <c r="P581" s="91"/>
      <c r="Q581" s="91"/>
      <c r="R581" s="91"/>
      <c r="S581" s="91"/>
      <c r="T581" s="91"/>
      <c r="U581" s="91"/>
      <c r="V581" s="91"/>
      <c r="W581" s="91"/>
      <c r="X581" s="91"/>
      <c r="Y581" s="91"/>
      <c r="Z581" s="91"/>
    </row>
    <row r="582" ht="24.0" customHeight="1">
      <c r="B582" s="90"/>
      <c r="C582" s="90"/>
      <c r="D582" s="90"/>
      <c r="E582" s="90"/>
      <c r="F582" s="90"/>
      <c r="G582" s="90"/>
      <c r="H582" s="90"/>
      <c r="I582" s="90"/>
      <c r="J582" s="90"/>
      <c r="K582" s="90"/>
      <c r="L582" s="90"/>
      <c r="M582" s="91"/>
      <c r="N582" s="91"/>
      <c r="O582" s="91"/>
      <c r="P582" s="91"/>
      <c r="Q582" s="91"/>
      <c r="R582" s="91"/>
      <c r="S582" s="91"/>
      <c r="T582" s="91"/>
      <c r="U582" s="91"/>
      <c r="V582" s="91"/>
      <c r="W582" s="91"/>
      <c r="X582" s="91"/>
      <c r="Y582" s="91"/>
      <c r="Z582" s="91"/>
    </row>
    <row r="583" ht="24.0" customHeight="1">
      <c r="B583" s="90"/>
      <c r="C583" s="90"/>
      <c r="D583" s="90"/>
      <c r="E583" s="90"/>
      <c r="F583" s="90"/>
      <c r="G583" s="90"/>
      <c r="H583" s="90"/>
      <c r="I583" s="90"/>
      <c r="J583" s="90"/>
      <c r="K583" s="90"/>
      <c r="L583" s="90"/>
      <c r="M583" s="91"/>
      <c r="N583" s="91"/>
      <c r="O583" s="91"/>
      <c r="P583" s="91"/>
      <c r="Q583" s="91"/>
      <c r="R583" s="91"/>
      <c r="S583" s="91"/>
      <c r="T583" s="91"/>
      <c r="U583" s="91"/>
      <c r="V583" s="91"/>
      <c r="W583" s="91"/>
      <c r="X583" s="91"/>
      <c r="Y583" s="91"/>
      <c r="Z583" s="91"/>
    </row>
    <row r="584" ht="24.0" customHeight="1">
      <c r="B584" s="90"/>
      <c r="C584" s="90"/>
      <c r="D584" s="90"/>
      <c r="E584" s="90"/>
      <c r="F584" s="90"/>
      <c r="G584" s="90"/>
      <c r="H584" s="90"/>
      <c r="I584" s="90"/>
      <c r="J584" s="90"/>
      <c r="K584" s="90"/>
      <c r="L584" s="90"/>
      <c r="M584" s="91"/>
      <c r="N584" s="91"/>
      <c r="O584" s="91"/>
      <c r="P584" s="91"/>
      <c r="Q584" s="91"/>
      <c r="R584" s="91"/>
      <c r="S584" s="91"/>
      <c r="T584" s="91"/>
      <c r="U584" s="91"/>
      <c r="V584" s="91"/>
      <c r="W584" s="91"/>
      <c r="X584" s="91"/>
      <c r="Y584" s="91"/>
      <c r="Z584" s="91"/>
    </row>
    <row r="585" ht="24.0" customHeight="1">
      <c r="B585" s="90"/>
      <c r="C585" s="90"/>
      <c r="D585" s="90"/>
      <c r="E585" s="90"/>
      <c r="F585" s="90"/>
      <c r="G585" s="90"/>
      <c r="H585" s="90"/>
      <c r="I585" s="90"/>
      <c r="J585" s="90"/>
      <c r="K585" s="90"/>
      <c r="L585" s="90"/>
      <c r="M585" s="91"/>
      <c r="N585" s="91"/>
      <c r="O585" s="91"/>
      <c r="P585" s="91"/>
      <c r="Q585" s="91"/>
      <c r="R585" s="91"/>
      <c r="S585" s="91"/>
      <c r="T585" s="91"/>
      <c r="U585" s="91"/>
      <c r="V585" s="91"/>
      <c r="W585" s="91"/>
      <c r="X585" s="91"/>
      <c r="Y585" s="91"/>
      <c r="Z585" s="91"/>
    </row>
    <row r="586" ht="24.0" customHeight="1">
      <c r="B586" s="90"/>
      <c r="C586" s="90"/>
      <c r="D586" s="90"/>
      <c r="E586" s="90"/>
      <c r="F586" s="90"/>
      <c r="G586" s="90"/>
      <c r="H586" s="90"/>
      <c r="I586" s="90"/>
      <c r="J586" s="90"/>
      <c r="K586" s="90"/>
      <c r="L586" s="90"/>
      <c r="M586" s="91"/>
      <c r="N586" s="91"/>
      <c r="O586" s="91"/>
      <c r="P586" s="91"/>
      <c r="Q586" s="91"/>
      <c r="R586" s="91"/>
      <c r="S586" s="91"/>
      <c r="T586" s="91"/>
      <c r="U586" s="91"/>
      <c r="V586" s="91"/>
      <c r="W586" s="91"/>
      <c r="X586" s="91"/>
      <c r="Y586" s="91"/>
      <c r="Z586" s="91"/>
    </row>
    <row r="587" ht="24.0" customHeight="1">
      <c r="B587" s="90"/>
      <c r="C587" s="90"/>
      <c r="D587" s="90"/>
      <c r="E587" s="90"/>
      <c r="F587" s="90"/>
      <c r="G587" s="90"/>
      <c r="H587" s="90"/>
      <c r="I587" s="90"/>
      <c r="J587" s="90"/>
      <c r="K587" s="90"/>
      <c r="L587" s="90"/>
      <c r="M587" s="91"/>
      <c r="N587" s="91"/>
      <c r="O587" s="91"/>
      <c r="P587" s="91"/>
      <c r="Q587" s="91"/>
      <c r="R587" s="91"/>
      <c r="S587" s="91"/>
      <c r="T587" s="91"/>
      <c r="U587" s="91"/>
      <c r="V587" s="91"/>
      <c r="W587" s="91"/>
      <c r="X587" s="91"/>
      <c r="Y587" s="91"/>
      <c r="Z587" s="91"/>
    </row>
    <row r="588" ht="24.0" customHeight="1">
      <c r="B588" s="90"/>
      <c r="C588" s="90"/>
      <c r="D588" s="90"/>
      <c r="E588" s="90"/>
      <c r="F588" s="90"/>
      <c r="G588" s="90"/>
      <c r="H588" s="90"/>
      <c r="I588" s="90"/>
      <c r="J588" s="90"/>
      <c r="K588" s="90"/>
      <c r="L588" s="90"/>
      <c r="M588" s="91"/>
      <c r="N588" s="91"/>
      <c r="O588" s="91"/>
      <c r="P588" s="91"/>
      <c r="Q588" s="91"/>
      <c r="R588" s="91"/>
      <c r="S588" s="91"/>
      <c r="T588" s="91"/>
      <c r="U588" s="91"/>
      <c r="V588" s="91"/>
      <c r="W588" s="91"/>
      <c r="X588" s="91"/>
      <c r="Y588" s="91"/>
      <c r="Z588" s="91"/>
    </row>
    <row r="589" ht="24.0" customHeight="1">
      <c r="B589" s="90"/>
      <c r="C589" s="90"/>
      <c r="D589" s="90"/>
      <c r="E589" s="90"/>
      <c r="F589" s="90"/>
      <c r="G589" s="90"/>
      <c r="H589" s="90"/>
      <c r="I589" s="90"/>
      <c r="J589" s="90"/>
      <c r="K589" s="90"/>
      <c r="L589" s="90"/>
      <c r="M589" s="91"/>
      <c r="N589" s="91"/>
      <c r="O589" s="91"/>
      <c r="P589" s="91"/>
      <c r="Q589" s="91"/>
      <c r="R589" s="91"/>
      <c r="S589" s="91"/>
      <c r="T589" s="91"/>
      <c r="U589" s="91"/>
      <c r="V589" s="91"/>
      <c r="W589" s="91"/>
      <c r="X589" s="91"/>
      <c r="Y589" s="91"/>
      <c r="Z589" s="91"/>
    </row>
    <row r="590" ht="24.0" customHeight="1">
      <c r="B590" s="90"/>
      <c r="C590" s="90"/>
      <c r="D590" s="90"/>
      <c r="E590" s="90"/>
      <c r="F590" s="90"/>
      <c r="G590" s="90"/>
      <c r="H590" s="90"/>
      <c r="I590" s="90"/>
      <c r="J590" s="90"/>
      <c r="K590" s="90"/>
      <c r="L590" s="90"/>
      <c r="M590" s="91"/>
      <c r="N590" s="91"/>
      <c r="O590" s="91"/>
      <c r="P590" s="91"/>
      <c r="Q590" s="91"/>
      <c r="R590" s="91"/>
      <c r="S590" s="91"/>
      <c r="T590" s="91"/>
      <c r="U590" s="91"/>
      <c r="V590" s="91"/>
      <c r="W590" s="91"/>
      <c r="X590" s="91"/>
      <c r="Y590" s="91"/>
      <c r="Z590" s="91"/>
    </row>
    <row r="591" ht="24.0" customHeight="1">
      <c r="B591" s="90"/>
      <c r="C591" s="90"/>
      <c r="D591" s="90"/>
      <c r="E591" s="90"/>
      <c r="F591" s="90"/>
      <c r="G591" s="90"/>
      <c r="H591" s="90"/>
      <c r="I591" s="90"/>
      <c r="J591" s="90"/>
      <c r="K591" s="90"/>
      <c r="L591" s="90"/>
      <c r="M591" s="91"/>
      <c r="N591" s="91"/>
      <c r="O591" s="91"/>
      <c r="P591" s="91"/>
      <c r="Q591" s="91"/>
      <c r="R591" s="91"/>
      <c r="S591" s="91"/>
      <c r="T591" s="91"/>
      <c r="U591" s="91"/>
      <c r="V591" s="91"/>
      <c r="W591" s="91"/>
      <c r="X591" s="91"/>
      <c r="Y591" s="91"/>
      <c r="Z591" s="91"/>
    </row>
    <row r="592" ht="24.0" customHeight="1">
      <c r="B592" s="90"/>
      <c r="C592" s="90"/>
      <c r="D592" s="90"/>
      <c r="E592" s="90"/>
      <c r="F592" s="90"/>
      <c r="G592" s="90"/>
      <c r="H592" s="90"/>
      <c r="I592" s="90"/>
      <c r="J592" s="90"/>
      <c r="K592" s="90"/>
      <c r="L592" s="90"/>
      <c r="M592" s="91"/>
      <c r="N592" s="91"/>
      <c r="O592" s="91"/>
      <c r="P592" s="91"/>
      <c r="Q592" s="91"/>
      <c r="R592" s="91"/>
      <c r="S592" s="91"/>
      <c r="T592" s="91"/>
      <c r="U592" s="91"/>
      <c r="V592" s="91"/>
      <c r="W592" s="91"/>
      <c r="X592" s="91"/>
      <c r="Y592" s="91"/>
      <c r="Z592" s="91"/>
    </row>
    <row r="593" ht="24.0" customHeight="1">
      <c r="B593" s="90"/>
      <c r="C593" s="90"/>
      <c r="D593" s="90"/>
      <c r="E593" s="90"/>
      <c r="F593" s="90"/>
      <c r="G593" s="90"/>
      <c r="H593" s="90"/>
      <c r="I593" s="90"/>
      <c r="J593" s="90"/>
      <c r="K593" s="90"/>
      <c r="L593" s="90"/>
      <c r="M593" s="91"/>
      <c r="N593" s="91"/>
      <c r="O593" s="91"/>
      <c r="P593" s="91"/>
      <c r="Q593" s="91"/>
      <c r="R593" s="91"/>
      <c r="S593" s="91"/>
      <c r="T593" s="91"/>
      <c r="U593" s="91"/>
      <c r="V593" s="91"/>
      <c r="W593" s="91"/>
      <c r="X593" s="91"/>
      <c r="Y593" s="91"/>
      <c r="Z593" s="91"/>
    </row>
    <row r="594" ht="24.0" customHeight="1">
      <c r="B594" s="90"/>
      <c r="C594" s="90"/>
      <c r="D594" s="90"/>
      <c r="E594" s="90"/>
      <c r="F594" s="90"/>
      <c r="G594" s="90"/>
      <c r="H594" s="90"/>
      <c r="I594" s="90"/>
      <c r="J594" s="90"/>
      <c r="K594" s="90"/>
      <c r="L594" s="90"/>
      <c r="M594" s="91"/>
      <c r="N594" s="91"/>
      <c r="O594" s="91"/>
      <c r="P594" s="91"/>
      <c r="Q594" s="91"/>
      <c r="R594" s="91"/>
      <c r="S594" s="91"/>
      <c r="T594" s="91"/>
      <c r="U594" s="91"/>
      <c r="V594" s="91"/>
      <c r="W594" s="91"/>
      <c r="X594" s="91"/>
      <c r="Y594" s="91"/>
      <c r="Z594" s="91"/>
    </row>
    <row r="595" ht="24.0" customHeight="1">
      <c r="B595" s="90"/>
      <c r="C595" s="90"/>
      <c r="D595" s="90"/>
      <c r="E595" s="90"/>
      <c r="F595" s="90"/>
      <c r="G595" s="90"/>
      <c r="H595" s="90"/>
      <c r="I595" s="90"/>
      <c r="J595" s="90"/>
      <c r="K595" s="90"/>
      <c r="L595" s="90"/>
      <c r="M595" s="91"/>
      <c r="N595" s="91"/>
      <c r="O595" s="91"/>
      <c r="P595" s="91"/>
      <c r="Q595" s="91"/>
      <c r="R595" s="91"/>
      <c r="S595" s="91"/>
      <c r="T595" s="91"/>
      <c r="U595" s="91"/>
      <c r="V595" s="91"/>
      <c r="W595" s="91"/>
      <c r="X595" s="91"/>
      <c r="Y595" s="91"/>
      <c r="Z595" s="91"/>
    </row>
    <row r="596" ht="24.0" customHeight="1">
      <c r="B596" s="90"/>
      <c r="C596" s="90"/>
      <c r="D596" s="90"/>
      <c r="E596" s="90"/>
      <c r="F596" s="90"/>
      <c r="G596" s="90"/>
      <c r="H596" s="90"/>
      <c r="I596" s="90"/>
      <c r="J596" s="90"/>
      <c r="K596" s="90"/>
      <c r="L596" s="90"/>
      <c r="M596" s="91"/>
      <c r="N596" s="91"/>
      <c r="O596" s="91"/>
      <c r="P596" s="91"/>
      <c r="Q596" s="91"/>
      <c r="R596" s="91"/>
      <c r="S596" s="91"/>
      <c r="T596" s="91"/>
      <c r="U596" s="91"/>
      <c r="V596" s="91"/>
      <c r="W596" s="91"/>
      <c r="X596" s="91"/>
      <c r="Y596" s="91"/>
      <c r="Z596" s="91"/>
    </row>
    <row r="597" ht="24.0" customHeight="1">
      <c r="B597" s="90"/>
      <c r="C597" s="90"/>
      <c r="D597" s="90"/>
      <c r="E597" s="90"/>
      <c r="F597" s="90"/>
      <c r="G597" s="90"/>
      <c r="H597" s="90"/>
      <c r="I597" s="90"/>
      <c r="J597" s="90"/>
      <c r="K597" s="90"/>
      <c r="L597" s="90"/>
      <c r="M597" s="91"/>
      <c r="N597" s="91"/>
      <c r="O597" s="91"/>
      <c r="P597" s="91"/>
      <c r="Q597" s="91"/>
      <c r="R597" s="91"/>
      <c r="S597" s="91"/>
      <c r="T597" s="91"/>
      <c r="U597" s="91"/>
      <c r="V597" s="91"/>
      <c r="W597" s="91"/>
      <c r="X597" s="91"/>
      <c r="Y597" s="91"/>
      <c r="Z597" s="91"/>
    </row>
    <row r="598" ht="24.0" customHeight="1">
      <c r="B598" s="90"/>
      <c r="C598" s="90"/>
      <c r="D598" s="90"/>
      <c r="E598" s="90"/>
      <c r="F598" s="90"/>
      <c r="G598" s="90"/>
      <c r="H598" s="90"/>
      <c r="I598" s="90"/>
      <c r="J598" s="90"/>
      <c r="K598" s="90"/>
      <c r="L598" s="90"/>
      <c r="M598" s="91"/>
      <c r="N598" s="91"/>
      <c r="O598" s="91"/>
      <c r="P598" s="91"/>
      <c r="Q598" s="91"/>
      <c r="R598" s="91"/>
      <c r="S598" s="91"/>
      <c r="T598" s="91"/>
      <c r="U598" s="91"/>
      <c r="V598" s="91"/>
      <c r="W598" s="91"/>
      <c r="X598" s="91"/>
      <c r="Y598" s="91"/>
      <c r="Z598" s="91"/>
    </row>
    <row r="599" ht="24.0" customHeight="1">
      <c r="B599" s="90"/>
      <c r="C599" s="90"/>
      <c r="D599" s="90"/>
      <c r="E599" s="90"/>
      <c r="F599" s="90"/>
      <c r="G599" s="90"/>
      <c r="H599" s="90"/>
      <c r="I599" s="90"/>
      <c r="J599" s="90"/>
      <c r="K599" s="90"/>
      <c r="L599" s="90"/>
      <c r="M599" s="91"/>
      <c r="N599" s="91"/>
      <c r="O599" s="91"/>
      <c r="P599" s="91"/>
      <c r="Q599" s="91"/>
      <c r="R599" s="91"/>
      <c r="S599" s="91"/>
      <c r="T599" s="91"/>
      <c r="U599" s="91"/>
      <c r="V599" s="91"/>
      <c r="W599" s="91"/>
      <c r="X599" s="91"/>
      <c r="Y599" s="91"/>
      <c r="Z599" s="91"/>
    </row>
    <row r="600" ht="24.0" customHeight="1">
      <c r="B600" s="90"/>
      <c r="C600" s="90"/>
      <c r="D600" s="90"/>
      <c r="E600" s="90"/>
      <c r="F600" s="90"/>
      <c r="G600" s="90"/>
      <c r="H600" s="90"/>
      <c r="I600" s="90"/>
      <c r="J600" s="90"/>
      <c r="K600" s="90"/>
      <c r="L600" s="90"/>
      <c r="M600" s="91"/>
      <c r="N600" s="91"/>
      <c r="O600" s="91"/>
      <c r="P600" s="91"/>
      <c r="Q600" s="91"/>
      <c r="R600" s="91"/>
      <c r="S600" s="91"/>
      <c r="T600" s="91"/>
      <c r="U600" s="91"/>
      <c r="V600" s="91"/>
      <c r="W600" s="91"/>
      <c r="X600" s="91"/>
      <c r="Y600" s="91"/>
      <c r="Z600" s="91"/>
    </row>
    <row r="601" ht="24.0" customHeight="1">
      <c r="B601" s="90"/>
      <c r="C601" s="90"/>
      <c r="D601" s="90"/>
      <c r="E601" s="90"/>
      <c r="F601" s="90"/>
      <c r="G601" s="90"/>
      <c r="H601" s="90"/>
      <c r="I601" s="90"/>
      <c r="J601" s="90"/>
      <c r="K601" s="90"/>
      <c r="L601" s="90"/>
      <c r="M601" s="91"/>
      <c r="N601" s="91"/>
      <c r="O601" s="91"/>
      <c r="P601" s="91"/>
      <c r="Q601" s="91"/>
      <c r="R601" s="91"/>
      <c r="S601" s="91"/>
      <c r="T601" s="91"/>
      <c r="U601" s="91"/>
      <c r="V601" s="91"/>
      <c r="W601" s="91"/>
      <c r="X601" s="91"/>
      <c r="Y601" s="91"/>
      <c r="Z601" s="91"/>
    </row>
    <row r="602" ht="24.0" customHeight="1">
      <c r="B602" s="90"/>
      <c r="C602" s="90"/>
      <c r="D602" s="90"/>
      <c r="E602" s="90"/>
      <c r="F602" s="90"/>
      <c r="G602" s="90"/>
      <c r="H602" s="90"/>
      <c r="I602" s="90"/>
      <c r="J602" s="90"/>
      <c r="K602" s="90"/>
      <c r="L602" s="90"/>
      <c r="M602" s="91"/>
      <c r="N602" s="91"/>
      <c r="O602" s="91"/>
      <c r="P602" s="91"/>
      <c r="Q602" s="91"/>
      <c r="R602" s="91"/>
      <c r="S602" s="91"/>
      <c r="T602" s="91"/>
      <c r="U602" s="91"/>
      <c r="V602" s="91"/>
      <c r="W602" s="91"/>
      <c r="X602" s="91"/>
      <c r="Y602" s="91"/>
      <c r="Z602" s="91"/>
    </row>
    <row r="603" ht="24.0" customHeight="1">
      <c r="B603" s="90"/>
      <c r="C603" s="90"/>
      <c r="D603" s="90"/>
      <c r="E603" s="90"/>
      <c r="F603" s="90"/>
      <c r="G603" s="90"/>
      <c r="H603" s="90"/>
      <c r="I603" s="90"/>
      <c r="J603" s="90"/>
      <c r="K603" s="90"/>
      <c r="L603" s="90"/>
      <c r="M603" s="91"/>
      <c r="N603" s="91"/>
      <c r="O603" s="91"/>
      <c r="P603" s="91"/>
      <c r="Q603" s="91"/>
      <c r="R603" s="91"/>
      <c r="S603" s="91"/>
      <c r="T603" s="91"/>
      <c r="U603" s="91"/>
      <c r="V603" s="91"/>
      <c r="W603" s="91"/>
      <c r="X603" s="91"/>
      <c r="Y603" s="91"/>
      <c r="Z603" s="91"/>
    </row>
    <row r="604" ht="24.0" customHeight="1">
      <c r="B604" s="90"/>
      <c r="C604" s="90"/>
      <c r="D604" s="90"/>
      <c r="E604" s="90"/>
      <c r="F604" s="90"/>
      <c r="G604" s="90"/>
      <c r="H604" s="90"/>
      <c r="I604" s="90"/>
      <c r="J604" s="90"/>
      <c r="K604" s="90"/>
      <c r="L604" s="90"/>
      <c r="M604" s="91"/>
      <c r="N604" s="91"/>
      <c r="O604" s="91"/>
      <c r="P604" s="91"/>
      <c r="Q604" s="91"/>
      <c r="R604" s="91"/>
      <c r="S604" s="91"/>
      <c r="T604" s="91"/>
      <c r="U604" s="91"/>
      <c r="V604" s="91"/>
      <c r="W604" s="91"/>
      <c r="X604" s="91"/>
      <c r="Y604" s="91"/>
      <c r="Z604" s="91"/>
    </row>
    <row r="605" ht="24.0" customHeight="1">
      <c r="B605" s="90"/>
      <c r="C605" s="90"/>
      <c r="D605" s="90"/>
      <c r="E605" s="90"/>
      <c r="F605" s="90"/>
      <c r="G605" s="90"/>
      <c r="H605" s="90"/>
      <c r="I605" s="90"/>
      <c r="J605" s="90"/>
      <c r="K605" s="90"/>
      <c r="L605" s="90"/>
      <c r="M605" s="91"/>
      <c r="N605" s="91"/>
      <c r="O605" s="91"/>
      <c r="P605" s="91"/>
      <c r="Q605" s="91"/>
      <c r="R605" s="91"/>
      <c r="S605" s="91"/>
      <c r="T605" s="91"/>
      <c r="U605" s="91"/>
      <c r="V605" s="91"/>
      <c r="W605" s="91"/>
      <c r="X605" s="91"/>
      <c r="Y605" s="91"/>
      <c r="Z605" s="91"/>
    </row>
    <row r="606" ht="24.0" customHeight="1">
      <c r="B606" s="90"/>
      <c r="C606" s="90"/>
      <c r="D606" s="90"/>
      <c r="E606" s="90"/>
      <c r="F606" s="90"/>
      <c r="G606" s="90"/>
      <c r="H606" s="90"/>
      <c r="I606" s="90"/>
      <c r="J606" s="90"/>
      <c r="K606" s="90"/>
      <c r="L606" s="90"/>
      <c r="M606" s="91"/>
      <c r="N606" s="91"/>
      <c r="O606" s="91"/>
      <c r="P606" s="91"/>
      <c r="Q606" s="91"/>
      <c r="R606" s="91"/>
      <c r="S606" s="91"/>
      <c r="T606" s="91"/>
      <c r="U606" s="91"/>
      <c r="V606" s="91"/>
      <c r="W606" s="91"/>
      <c r="X606" s="91"/>
      <c r="Y606" s="91"/>
      <c r="Z606" s="91"/>
    </row>
    <row r="607" ht="24.0" customHeight="1">
      <c r="B607" s="90"/>
      <c r="C607" s="90"/>
      <c r="D607" s="90"/>
      <c r="E607" s="90"/>
      <c r="F607" s="90"/>
      <c r="G607" s="90"/>
      <c r="H607" s="90"/>
      <c r="I607" s="90"/>
      <c r="J607" s="90"/>
      <c r="K607" s="90"/>
      <c r="L607" s="90"/>
      <c r="M607" s="91"/>
      <c r="N607" s="91"/>
      <c r="O607" s="91"/>
      <c r="P607" s="91"/>
      <c r="Q607" s="91"/>
      <c r="R607" s="91"/>
      <c r="S607" s="91"/>
      <c r="T607" s="91"/>
      <c r="U607" s="91"/>
      <c r="V607" s="91"/>
      <c r="W607" s="91"/>
      <c r="X607" s="91"/>
      <c r="Y607" s="91"/>
      <c r="Z607" s="91"/>
    </row>
    <row r="608" ht="24.0" customHeight="1">
      <c r="B608" s="90"/>
      <c r="C608" s="90"/>
      <c r="D608" s="90"/>
      <c r="E608" s="90"/>
      <c r="F608" s="90"/>
      <c r="G608" s="90"/>
      <c r="H608" s="90"/>
      <c r="I608" s="90"/>
      <c r="J608" s="90"/>
      <c r="K608" s="90"/>
      <c r="L608" s="90"/>
      <c r="M608" s="91"/>
      <c r="N608" s="91"/>
      <c r="O608" s="91"/>
      <c r="P608" s="91"/>
      <c r="Q608" s="91"/>
      <c r="R608" s="91"/>
      <c r="S608" s="91"/>
      <c r="T608" s="91"/>
      <c r="U608" s="91"/>
      <c r="V608" s="91"/>
      <c r="W608" s="91"/>
      <c r="X608" s="91"/>
      <c r="Y608" s="91"/>
      <c r="Z608" s="91"/>
    </row>
    <row r="609" ht="24.0" customHeight="1">
      <c r="B609" s="90"/>
      <c r="C609" s="90"/>
      <c r="D609" s="90"/>
      <c r="E609" s="90"/>
      <c r="F609" s="90"/>
      <c r="G609" s="90"/>
      <c r="H609" s="90"/>
      <c r="I609" s="90"/>
      <c r="J609" s="90"/>
      <c r="K609" s="90"/>
      <c r="L609" s="90"/>
      <c r="M609" s="91"/>
      <c r="N609" s="91"/>
      <c r="O609" s="91"/>
      <c r="P609" s="91"/>
      <c r="Q609" s="91"/>
      <c r="R609" s="91"/>
      <c r="S609" s="91"/>
      <c r="T609" s="91"/>
      <c r="U609" s="91"/>
      <c r="V609" s="91"/>
      <c r="W609" s="91"/>
      <c r="X609" s="91"/>
      <c r="Y609" s="91"/>
      <c r="Z609" s="91"/>
    </row>
    <row r="610" ht="24.0" customHeight="1">
      <c r="B610" s="90"/>
      <c r="C610" s="90"/>
      <c r="D610" s="90"/>
      <c r="E610" s="90"/>
      <c r="F610" s="90"/>
      <c r="G610" s="90"/>
      <c r="H610" s="90"/>
      <c r="I610" s="90"/>
      <c r="J610" s="90"/>
      <c r="K610" s="90"/>
      <c r="L610" s="90"/>
      <c r="M610" s="91"/>
      <c r="N610" s="91"/>
      <c r="O610" s="91"/>
      <c r="P610" s="91"/>
      <c r="Q610" s="91"/>
      <c r="R610" s="91"/>
      <c r="S610" s="91"/>
      <c r="T610" s="91"/>
      <c r="U610" s="91"/>
      <c r="V610" s="91"/>
      <c r="W610" s="91"/>
      <c r="X610" s="91"/>
      <c r="Y610" s="91"/>
      <c r="Z610" s="91"/>
    </row>
    <row r="611" ht="24.0" customHeight="1">
      <c r="B611" s="90"/>
      <c r="C611" s="90"/>
      <c r="D611" s="90"/>
      <c r="E611" s="90"/>
      <c r="F611" s="90"/>
      <c r="G611" s="90"/>
      <c r="H611" s="90"/>
      <c r="I611" s="90"/>
      <c r="J611" s="90"/>
      <c r="K611" s="90"/>
      <c r="L611" s="90"/>
      <c r="M611" s="91"/>
      <c r="N611" s="91"/>
      <c r="O611" s="91"/>
      <c r="P611" s="91"/>
      <c r="Q611" s="91"/>
      <c r="R611" s="91"/>
      <c r="S611" s="91"/>
      <c r="T611" s="91"/>
      <c r="U611" s="91"/>
      <c r="V611" s="91"/>
      <c r="W611" s="91"/>
      <c r="X611" s="91"/>
      <c r="Y611" s="91"/>
      <c r="Z611" s="91"/>
    </row>
    <row r="612" ht="24.0" customHeight="1">
      <c r="B612" s="90"/>
      <c r="C612" s="90"/>
      <c r="D612" s="90"/>
      <c r="E612" s="90"/>
      <c r="F612" s="90"/>
      <c r="G612" s="90"/>
      <c r="H612" s="90"/>
      <c r="I612" s="90"/>
      <c r="J612" s="90"/>
      <c r="K612" s="90"/>
      <c r="L612" s="90"/>
      <c r="M612" s="91"/>
      <c r="N612" s="91"/>
      <c r="O612" s="91"/>
      <c r="P612" s="91"/>
      <c r="Q612" s="91"/>
      <c r="R612" s="91"/>
      <c r="S612" s="91"/>
      <c r="T612" s="91"/>
      <c r="U612" s="91"/>
      <c r="V612" s="91"/>
      <c r="W612" s="91"/>
      <c r="X612" s="91"/>
      <c r="Y612" s="91"/>
      <c r="Z612" s="91"/>
    </row>
    <row r="613" ht="24.0" customHeight="1">
      <c r="B613" s="90"/>
      <c r="C613" s="90"/>
      <c r="D613" s="90"/>
      <c r="E613" s="90"/>
      <c r="F613" s="90"/>
      <c r="G613" s="90"/>
      <c r="H613" s="90"/>
      <c r="I613" s="90"/>
      <c r="J613" s="90"/>
      <c r="K613" s="90"/>
      <c r="L613" s="90"/>
      <c r="M613" s="91"/>
      <c r="N613" s="91"/>
      <c r="O613" s="91"/>
      <c r="P613" s="91"/>
      <c r="Q613" s="91"/>
      <c r="R613" s="91"/>
      <c r="S613" s="91"/>
      <c r="T613" s="91"/>
      <c r="U613" s="91"/>
      <c r="V613" s="91"/>
      <c r="W613" s="91"/>
      <c r="X613" s="91"/>
      <c r="Y613" s="91"/>
      <c r="Z613" s="91"/>
    </row>
    <row r="614" ht="24.0" customHeight="1">
      <c r="B614" s="90"/>
      <c r="C614" s="90"/>
      <c r="D614" s="90"/>
      <c r="E614" s="90"/>
      <c r="F614" s="90"/>
      <c r="G614" s="90"/>
      <c r="H614" s="90"/>
      <c r="I614" s="90"/>
      <c r="J614" s="90"/>
      <c r="K614" s="90"/>
      <c r="L614" s="90"/>
      <c r="M614" s="91"/>
      <c r="N614" s="91"/>
      <c r="O614" s="91"/>
      <c r="P614" s="91"/>
      <c r="Q614" s="91"/>
      <c r="R614" s="91"/>
      <c r="S614" s="91"/>
      <c r="T614" s="91"/>
      <c r="U614" s="91"/>
      <c r="V614" s="91"/>
      <c r="W614" s="91"/>
      <c r="X614" s="91"/>
      <c r="Y614" s="91"/>
      <c r="Z614" s="91"/>
    </row>
    <row r="615" ht="24.0" customHeight="1">
      <c r="B615" s="90"/>
      <c r="C615" s="90"/>
      <c r="D615" s="90"/>
      <c r="E615" s="90"/>
      <c r="F615" s="90"/>
      <c r="G615" s="90"/>
      <c r="H615" s="90"/>
      <c r="I615" s="90"/>
      <c r="J615" s="90"/>
      <c r="K615" s="90"/>
      <c r="L615" s="90"/>
      <c r="M615" s="91"/>
      <c r="N615" s="91"/>
      <c r="O615" s="91"/>
      <c r="P615" s="91"/>
      <c r="Q615" s="91"/>
      <c r="R615" s="91"/>
      <c r="S615" s="91"/>
      <c r="T615" s="91"/>
      <c r="U615" s="91"/>
      <c r="V615" s="91"/>
      <c r="W615" s="91"/>
      <c r="X615" s="91"/>
      <c r="Y615" s="91"/>
      <c r="Z615" s="91"/>
    </row>
    <row r="616" ht="24.0" customHeight="1">
      <c r="B616" s="90"/>
      <c r="C616" s="90"/>
      <c r="D616" s="90"/>
      <c r="E616" s="90"/>
      <c r="F616" s="90"/>
      <c r="G616" s="90"/>
      <c r="H616" s="90"/>
      <c r="I616" s="90"/>
      <c r="J616" s="90"/>
      <c r="K616" s="90"/>
      <c r="L616" s="90"/>
      <c r="M616" s="91"/>
      <c r="N616" s="91"/>
      <c r="O616" s="91"/>
      <c r="P616" s="91"/>
      <c r="Q616" s="91"/>
      <c r="R616" s="91"/>
      <c r="S616" s="91"/>
      <c r="T616" s="91"/>
      <c r="U616" s="91"/>
      <c r="V616" s="91"/>
      <c r="W616" s="91"/>
      <c r="X616" s="91"/>
      <c r="Y616" s="91"/>
      <c r="Z616" s="91"/>
    </row>
    <row r="617" ht="24.0" customHeight="1">
      <c r="B617" s="90"/>
      <c r="C617" s="90"/>
      <c r="D617" s="90"/>
      <c r="E617" s="90"/>
      <c r="F617" s="90"/>
      <c r="G617" s="90"/>
      <c r="H617" s="90"/>
      <c r="I617" s="90"/>
      <c r="J617" s="90"/>
      <c r="K617" s="90"/>
      <c r="L617" s="90"/>
      <c r="M617" s="91"/>
      <c r="N617" s="91"/>
      <c r="O617" s="91"/>
      <c r="P617" s="91"/>
      <c r="Q617" s="91"/>
      <c r="R617" s="91"/>
      <c r="S617" s="91"/>
      <c r="T617" s="91"/>
      <c r="U617" s="91"/>
      <c r="V617" s="91"/>
      <c r="W617" s="91"/>
      <c r="X617" s="91"/>
      <c r="Y617" s="91"/>
      <c r="Z617" s="91"/>
    </row>
    <row r="618" ht="24.0" customHeight="1">
      <c r="B618" s="90"/>
      <c r="C618" s="90"/>
      <c r="D618" s="90"/>
      <c r="E618" s="90"/>
      <c r="F618" s="90"/>
      <c r="G618" s="90"/>
      <c r="H618" s="90"/>
      <c r="I618" s="90"/>
      <c r="J618" s="90"/>
      <c r="K618" s="90"/>
      <c r="L618" s="90"/>
      <c r="M618" s="91"/>
      <c r="N618" s="91"/>
      <c r="O618" s="91"/>
      <c r="P618" s="91"/>
      <c r="Q618" s="91"/>
      <c r="R618" s="91"/>
      <c r="S618" s="91"/>
      <c r="T618" s="91"/>
      <c r="U618" s="91"/>
      <c r="V618" s="91"/>
      <c r="W618" s="91"/>
      <c r="X618" s="91"/>
      <c r="Y618" s="91"/>
      <c r="Z618" s="91"/>
    </row>
    <row r="619" ht="24.0" customHeight="1">
      <c r="B619" s="90"/>
      <c r="C619" s="90"/>
      <c r="D619" s="90"/>
      <c r="E619" s="90"/>
      <c r="F619" s="90"/>
      <c r="G619" s="90"/>
      <c r="H619" s="90"/>
      <c r="I619" s="90"/>
      <c r="J619" s="90"/>
      <c r="K619" s="90"/>
      <c r="L619" s="90"/>
      <c r="M619" s="91"/>
      <c r="N619" s="91"/>
      <c r="O619" s="91"/>
      <c r="P619" s="91"/>
      <c r="Q619" s="91"/>
      <c r="R619" s="91"/>
      <c r="S619" s="91"/>
      <c r="T619" s="91"/>
      <c r="U619" s="91"/>
      <c r="V619" s="91"/>
      <c r="W619" s="91"/>
      <c r="X619" s="91"/>
      <c r="Y619" s="91"/>
      <c r="Z619" s="91"/>
    </row>
    <row r="620" ht="24.0" customHeight="1">
      <c r="B620" s="90"/>
      <c r="C620" s="90"/>
      <c r="D620" s="90"/>
      <c r="E620" s="90"/>
      <c r="F620" s="90"/>
      <c r="G620" s="90"/>
      <c r="H620" s="90"/>
      <c r="I620" s="90"/>
      <c r="J620" s="90"/>
      <c r="K620" s="90"/>
      <c r="L620" s="90"/>
      <c r="M620" s="91"/>
      <c r="N620" s="91"/>
      <c r="O620" s="91"/>
      <c r="P620" s="91"/>
      <c r="Q620" s="91"/>
      <c r="R620" s="91"/>
      <c r="S620" s="91"/>
      <c r="T620" s="91"/>
      <c r="U620" s="91"/>
      <c r="V620" s="91"/>
      <c r="W620" s="91"/>
      <c r="X620" s="91"/>
      <c r="Y620" s="91"/>
      <c r="Z620" s="91"/>
    </row>
    <row r="621" ht="24.0" customHeight="1">
      <c r="B621" s="90"/>
      <c r="C621" s="90"/>
      <c r="D621" s="90"/>
      <c r="E621" s="90"/>
      <c r="F621" s="90"/>
      <c r="G621" s="90"/>
      <c r="H621" s="90"/>
      <c r="I621" s="90"/>
      <c r="J621" s="90"/>
      <c r="K621" s="90"/>
      <c r="L621" s="90"/>
      <c r="M621" s="91"/>
      <c r="N621" s="91"/>
      <c r="O621" s="91"/>
      <c r="P621" s="91"/>
      <c r="Q621" s="91"/>
      <c r="R621" s="91"/>
      <c r="S621" s="91"/>
      <c r="T621" s="91"/>
      <c r="U621" s="91"/>
      <c r="V621" s="91"/>
      <c r="W621" s="91"/>
      <c r="X621" s="91"/>
      <c r="Y621" s="91"/>
      <c r="Z621" s="91"/>
    </row>
    <row r="622" ht="24.0" customHeight="1">
      <c r="B622" s="90"/>
      <c r="C622" s="90"/>
      <c r="D622" s="90"/>
      <c r="E622" s="90"/>
      <c r="F622" s="90"/>
      <c r="G622" s="90"/>
      <c r="H622" s="90"/>
      <c r="I622" s="90"/>
      <c r="J622" s="90"/>
      <c r="K622" s="90"/>
      <c r="L622" s="90"/>
      <c r="M622" s="91"/>
      <c r="N622" s="91"/>
      <c r="O622" s="91"/>
      <c r="P622" s="91"/>
      <c r="Q622" s="91"/>
      <c r="R622" s="91"/>
      <c r="S622" s="91"/>
      <c r="T622" s="91"/>
      <c r="U622" s="91"/>
      <c r="V622" s="91"/>
      <c r="W622" s="91"/>
      <c r="X622" s="91"/>
      <c r="Y622" s="91"/>
      <c r="Z622" s="91"/>
    </row>
    <row r="623" ht="24.0" customHeight="1">
      <c r="B623" s="90"/>
      <c r="C623" s="90"/>
      <c r="D623" s="90"/>
      <c r="E623" s="90"/>
      <c r="F623" s="90"/>
      <c r="G623" s="90"/>
      <c r="H623" s="90"/>
      <c r="I623" s="90"/>
      <c r="J623" s="90"/>
      <c r="K623" s="90"/>
      <c r="L623" s="90"/>
      <c r="M623" s="91"/>
      <c r="N623" s="91"/>
      <c r="O623" s="91"/>
      <c r="P623" s="91"/>
      <c r="Q623" s="91"/>
      <c r="R623" s="91"/>
      <c r="S623" s="91"/>
      <c r="T623" s="91"/>
      <c r="U623" s="91"/>
      <c r="V623" s="91"/>
      <c r="W623" s="91"/>
      <c r="X623" s="91"/>
      <c r="Y623" s="91"/>
      <c r="Z623" s="91"/>
    </row>
    <row r="624" ht="24.0" customHeight="1">
      <c r="B624" s="90"/>
      <c r="C624" s="90"/>
      <c r="D624" s="90"/>
      <c r="E624" s="90"/>
      <c r="F624" s="90"/>
      <c r="G624" s="90"/>
      <c r="H624" s="90"/>
      <c r="I624" s="90"/>
      <c r="J624" s="90"/>
      <c r="K624" s="90"/>
      <c r="L624" s="90"/>
      <c r="M624" s="91"/>
      <c r="N624" s="91"/>
      <c r="O624" s="91"/>
      <c r="P624" s="91"/>
      <c r="Q624" s="91"/>
      <c r="R624" s="91"/>
      <c r="S624" s="91"/>
      <c r="T624" s="91"/>
      <c r="U624" s="91"/>
      <c r="V624" s="91"/>
      <c r="W624" s="91"/>
      <c r="X624" s="91"/>
      <c r="Y624" s="91"/>
      <c r="Z624" s="91"/>
    </row>
    <row r="625" ht="24.0" customHeight="1">
      <c r="B625" s="90"/>
      <c r="C625" s="90"/>
      <c r="D625" s="90"/>
      <c r="E625" s="90"/>
      <c r="F625" s="90"/>
      <c r="G625" s="90"/>
      <c r="H625" s="90"/>
      <c r="I625" s="90"/>
      <c r="J625" s="90"/>
      <c r="K625" s="90"/>
      <c r="L625" s="90"/>
      <c r="M625" s="91"/>
      <c r="N625" s="91"/>
      <c r="O625" s="91"/>
      <c r="P625" s="91"/>
      <c r="Q625" s="91"/>
      <c r="R625" s="91"/>
      <c r="S625" s="91"/>
      <c r="T625" s="91"/>
      <c r="U625" s="91"/>
      <c r="V625" s="91"/>
      <c r="W625" s="91"/>
      <c r="X625" s="91"/>
      <c r="Y625" s="91"/>
      <c r="Z625" s="91"/>
    </row>
    <row r="626" ht="24.0" customHeight="1">
      <c r="B626" s="90"/>
      <c r="C626" s="90"/>
      <c r="D626" s="90"/>
      <c r="E626" s="90"/>
      <c r="F626" s="90"/>
      <c r="G626" s="90"/>
      <c r="H626" s="90"/>
      <c r="I626" s="90"/>
      <c r="J626" s="90"/>
      <c r="K626" s="90"/>
      <c r="L626" s="90"/>
      <c r="M626" s="91"/>
      <c r="N626" s="91"/>
      <c r="O626" s="91"/>
      <c r="P626" s="91"/>
      <c r="Q626" s="91"/>
      <c r="R626" s="91"/>
      <c r="S626" s="91"/>
      <c r="T626" s="91"/>
      <c r="U626" s="91"/>
      <c r="V626" s="91"/>
      <c r="W626" s="91"/>
      <c r="X626" s="91"/>
      <c r="Y626" s="91"/>
      <c r="Z626" s="91"/>
    </row>
    <row r="627" ht="24.0" customHeight="1">
      <c r="B627" s="90"/>
      <c r="C627" s="90"/>
      <c r="D627" s="90"/>
      <c r="E627" s="90"/>
      <c r="F627" s="90"/>
      <c r="G627" s="90"/>
      <c r="H627" s="90"/>
      <c r="I627" s="90"/>
      <c r="J627" s="90"/>
      <c r="K627" s="90"/>
      <c r="L627" s="90"/>
      <c r="M627" s="91"/>
      <c r="N627" s="91"/>
      <c r="O627" s="91"/>
      <c r="P627" s="91"/>
      <c r="Q627" s="91"/>
      <c r="R627" s="91"/>
      <c r="S627" s="91"/>
      <c r="T627" s="91"/>
      <c r="U627" s="91"/>
      <c r="V627" s="91"/>
      <c r="W627" s="91"/>
      <c r="X627" s="91"/>
      <c r="Y627" s="91"/>
      <c r="Z627" s="91"/>
    </row>
    <row r="628" ht="24.0" customHeight="1">
      <c r="B628" s="90"/>
      <c r="C628" s="90"/>
      <c r="D628" s="90"/>
      <c r="E628" s="90"/>
      <c r="F628" s="90"/>
      <c r="G628" s="90"/>
      <c r="H628" s="90"/>
      <c r="I628" s="90"/>
      <c r="J628" s="90"/>
      <c r="K628" s="90"/>
      <c r="L628" s="90"/>
      <c r="M628" s="91"/>
      <c r="N628" s="91"/>
      <c r="O628" s="91"/>
      <c r="P628" s="91"/>
      <c r="Q628" s="91"/>
      <c r="R628" s="91"/>
      <c r="S628" s="91"/>
      <c r="T628" s="91"/>
      <c r="U628" s="91"/>
      <c r="V628" s="91"/>
      <c r="W628" s="91"/>
      <c r="X628" s="91"/>
      <c r="Y628" s="91"/>
      <c r="Z628" s="91"/>
    </row>
    <row r="629" ht="24.0" customHeight="1">
      <c r="B629" s="90"/>
      <c r="C629" s="90"/>
      <c r="D629" s="90"/>
      <c r="E629" s="90"/>
      <c r="F629" s="90"/>
      <c r="G629" s="90"/>
      <c r="H629" s="90"/>
      <c r="I629" s="90"/>
      <c r="J629" s="90"/>
      <c r="K629" s="90"/>
      <c r="L629" s="90"/>
      <c r="M629" s="91"/>
      <c r="N629" s="91"/>
      <c r="O629" s="91"/>
      <c r="P629" s="91"/>
      <c r="Q629" s="91"/>
      <c r="R629" s="91"/>
      <c r="S629" s="91"/>
      <c r="T629" s="91"/>
      <c r="U629" s="91"/>
      <c r="V629" s="91"/>
      <c r="W629" s="91"/>
      <c r="X629" s="91"/>
      <c r="Y629" s="91"/>
      <c r="Z629" s="91"/>
    </row>
    <row r="630" ht="24.0" customHeight="1">
      <c r="B630" s="90"/>
      <c r="C630" s="90"/>
      <c r="D630" s="90"/>
      <c r="E630" s="90"/>
      <c r="F630" s="90"/>
      <c r="G630" s="90"/>
      <c r="H630" s="90"/>
      <c r="I630" s="90"/>
      <c r="J630" s="90"/>
      <c r="K630" s="90"/>
      <c r="L630" s="90"/>
      <c r="M630" s="91"/>
      <c r="N630" s="91"/>
      <c r="O630" s="91"/>
      <c r="P630" s="91"/>
      <c r="Q630" s="91"/>
      <c r="R630" s="91"/>
      <c r="S630" s="91"/>
      <c r="T630" s="91"/>
      <c r="U630" s="91"/>
      <c r="V630" s="91"/>
      <c r="W630" s="91"/>
      <c r="X630" s="91"/>
      <c r="Y630" s="91"/>
      <c r="Z630" s="91"/>
    </row>
    <row r="631" ht="24.0" customHeight="1">
      <c r="B631" s="90"/>
      <c r="C631" s="90"/>
      <c r="D631" s="90"/>
      <c r="E631" s="90"/>
      <c r="F631" s="90"/>
      <c r="G631" s="90"/>
      <c r="H631" s="90"/>
      <c r="I631" s="90"/>
      <c r="J631" s="90"/>
      <c r="K631" s="90"/>
      <c r="L631" s="90"/>
      <c r="M631" s="91"/>
      <c r="N631" s="91"/>
      <c r="O631" s="91"/>
      <c r="P631" s="91"/>
      <c r="Q631" s="91"/>
      <c r="R631" s="91"/>
      <c r="S631" s="91"/>
      <c r="T631" s="91"/>
      <c r="U631" s="91"/>
      <c r="V631" s="91"/>
      <c r="W631" s="91"/>
      <c r="X631" s="91"/>
      <c r="Y631" s="91"/>
      <c r="Z631" s="91"/>
    </row>
    <row r="632" ht="24.0" customHeight="1">
      <c r="B632" s="90"/>
      <c r="C632" s="90"/>
      <c r="D632" s="90"/>
      <c r="E632" s="90"/>
      <c r="F632" s="90"/>
      <c r="G632" s="90"/>
      <c r="H632" s="90"/>
      <c r="I632" s="90"/>
      <c r="J632" s="90"/>
      <c r="K632" s="90"/>
      <c r="L632" s="90"/>
      <c r="M632" s="91"/>
      <c r="N632" s="91"/>
      <c r="O632" s="91"/>
      <c r="P632" s="91"/>
      <c r="Q632" s="91"/>
      <c r="R632" s="91"/>
      <c r="S632" s="91"/>
      <c r="T632" s="91"/>
      <c r="U632" s="91"/>
      <c r="V632" s="91"/>
      <c r="W632" s="91"/>
      <c r="X632" s="91"/>
      <c r="Y632" s="91"/>
      <c r="Z632" s="91"/>
    </row>
    <row r="633" ht="24.0" customHeight="1">
      <c r="B633" s="90"/>
      <c r="C633" s="90"/>
      <c r="D633" s="90"/>
      <c r="E633" s="90"/>
      <c r="F633" s="90"/>
      <c r="G633" s="90"/>
      <c r="H633" s="90"/>
      <c r="I633" s="90"/>
      <c r="J633" s="90"/>
      <c r="K633" s="90"/>
      <c r="L633" s="90"/>
      <c r="M633" s="91"/>
      <c r="N633" s="91"/>
      <c r="O633" s="91"/>
      <c r="P633" s="91"/>
      <c r="Q633" s="91"/>
      <c r="R633" s="91"/>
      <c r="S633" s="91"/>
      <c r="T633" s="91"/>
      <c r="U633" s="91"/>
      <c r="V633" s="91"/>
      <c r="W633" s="91"/>
      <c r="X633" s="91"/>
      <c r="Y633" s="91"/>
      <c r="Z633" s="91"/>
    </row>
    <row r="634" ht="24.0" customHeight="1">
      <c r="B634" s="90"/>
      <c r="C634" s="90"/>
      <c r="D634" s="90"/>
      <c r="E634" s="90"/>
      <c r="F634" s="90"/>
      <c r="G634" s="90"/>
      <c r="H634" s="90"/>
      <c r="I634" s="90"/>
      <c r="J634" s="90"/>
      <c r="K634" s="90"/>
      <c r="L634" s="90"/>
      <c r="M634" s="91"/>
      <c r="N634" s="91"/>
      <c r="O634" s="91"/>
      <c r="P634" s="91"/>
      <c r="Q634" s="91"/>
      <c r="R634" s="91"/>
      <c r="S634" s="91"/>
      <c r="T634" s="91"/>
      <c r="U634" s="91"/>
      <c r="V634" s="91"/>
      <c r="W634" s="91"/>
      <c r="X634" s="91"/>
      <c r="Y634" s="91"/>
      <c r="Z634" s="91"/>
    </row>
    <row r="635" ht="24.0" customHeight="1">
      <c r="B635" s="90"/>
      <c r="C635" s="90"/>
      <c r="D635" s="90"/>
      <c r="E635" s="90"/>
      <c r="F635" s="90"/>
      <c r="G635" s="90"/>
      <c r="H635" s="90"/>
      <c r="I635" s="90"/>
      <c r="J635" s="90"/>
      <c r="K635" s="90"/>
      <c r="L635" s="90"/>
      <c r="M635" s="91"/>
      <c r="N635" s="91"/>
      <c r="O635" s="91"/>
      <c r="P635" s="91"/>
      <c r="Q635" s="91"/>
      <c r="R635" s="91"/>
      <c r="S635" s="91"/>
      <c r="T635" s="91"/>
      <c r="U635" s="91"/>
      <c r="V635" s="91"/>
      <c r="W635" s="91"/>
      <c r="X635" s="91"/>
      <c r="Y635" s="91"/>
      <c r="Z635" s="91"/>
    </row>
    <row r="636" ht="24.0" customHeight="1">
      <c r="B636" s="90"/>
      <c r="C636" s="90"/>
      <c r="D636" s="90"/>
      <c r="E636" s="90"/>
      <c r="F636" s="90"/>
      <c r="G636" s="90"/>
      <c r="H636" s="90"/>
      <c r="I636" s="90"/>
      <c r="J636" s="90"/>
      <c r="K636" s="90"/>
      <c r="L636" s="90"/>
      <c r="M636" s="91"/>
      <c r="N636" s="91"/>
      <c r="O636" s="91"/>
      <c r="P636" s="91"/>
      <c r="Q636" s="91"/>
      <c r="R636" s="91"/>
      <c r="S636" s="91"/>
      <c r="T636" s="91"/>
      <c r="U636" s="91"/>
      <c r="V636" s="91"/>
      <c r="W636" s="91"/>
      <c r="X636" s="91"/>
      <c r="Y636" s="91"/>
      <c r="Z636" s="91"/>
    </row>
    <row r="637" ht="24.0" customHeight="1">
      <c r="B637" s="90"/>
      <c r="C637" s="90"/>
      <c r="D637" s="90"/>
      <c r="E637" s="90"/>
      <c r="F637" s="90"/>
      <c r="G637" s="90"/>
      <c r="H637" s="90"/>
      <c r="I637" s="90"/>
      <c r="J637" s="90"/>
      <c r="K637" s="90"/>
      <c r="L637" s="90"/>
      <c r="M637" s="91"/>
      <c r="N637" s="91"/>
      <c r="O637" s="91"/>
      <c r="P637" s="91"/>
      <c r="Q637" s="91"/>
      <c r="R637" s="91"/>
      <c r="S637" s="91"/>
      <c r="T637" s="91"/>
      <c r="U637" s="91"/>
      <c r="V637" s="91"/>
      <c r="W637" s="91"/>
      <c r="X637" s="91"/>
      <c r="Y637" s="91"/>
      <c r="Z637" s="91"/>
    </row>
    <row r="638" ht="24.0" customHeight="1">
      <c r="B638" s="90"/>
      <c r="C638" s="90"/>
      <c r="D638" s="90"/>
      <c r="E638" s="90"/>
      <c r="F638" s="90"/>
      <c r="G638" s="90"/>
      <c r="H638" s="90"/>
      <c r="I638" s="90"/>
      <c r="J638" s="90"/>
      <c r="K638" s="90"/>
      <c r="L638" s="90"/>
      <c r="M638" s="91"/>
      <c r="N638" s="91"/>
      <c r="O638" s="91"/>
      <c r="P638" s="91"/>
      <c r="Q638" s="91"/>
      <c r="R638" s="91"/>
      <c r="S638" s="91"/>
      <c r="T638" s="91"/>
      <c r="U638" s="91"/>
      <c r="V638" s="91"/>
      <c r="W638" s="91"/>
      <c r="X638" s="91"/>
      <c r="Y638" s="91"/>
      <c r="Z638" s="91"/>
    </row>
    <row r="639" ht="24.0" customHeight="1">
      <c r="B639" s="90"/>
      <c r="C639" s="90"/>
      <c r="D639" s="90"/>
      <c r="E639" s="90"/>
      <c r="F639" s="90"/>
      <c r="G639" s="90"/>
      <c r="H639" s="90"/>
      <c r="I639" s="90"/>
      <c r="J639" s="90"/>
      <c r="K639" s="90"/>
      <c r="L639" s="90"/>
      <c r="M639" s="91"/>
      <c r="N639" s="91"/>
      <c r="O639" s="91"/>
      <c r="P639" s="91"/>
      <c r="Q639" s="91"/>
      <c r="R639" s="91"/>
      <c r="S639" s="91"/>
      <c r="T639" s="91"/>
      <c r="U639" s="91"/>
      <c r="V639" s="91"/>
      <c r="W639" s="91"/>
      <c r="X639" s="91"/>
      <c r="Y639" s="91"/>
      <c r="Z639" s="91"/>
    </row>
    <row r="640" ht="24.0" customHeight="1">
      <c r="B640" s="90"/>
      <c r="C640" s="90"/>
      <c r="D640" s="90"/>
      <c r="E640" s="90"/>
      <c r="F640" s="90"/>
      <c r="G640" s="90"/>
      <c r="H640" s="90"/>
      <c r="I640" s="90"/>
      <c r="J640" s="90"/>
      <c r="K640" s="90"/>
      <c r="L640" s="90"/>
      <c r="M640" s="91"/>
      <c r="N640" s="91"/>
      <c r="O640" s="91"/>
      <c r="P640" s="91"/>
      <c r="Q640" s="91"/>
      <c r="R640" s="91"/>
      <c r="S640" s="91"/>
      <c r="T640" s="91"/>
      <c r="U640" s="91"/>
      <c r="V640" s="91"/>
      <c r="W640" s="91"/>
      <c r="X640" s="91"/>
      <c r="Y640" s="91"/>
      <c r="Z640" s="91"/>
    </row>
    <row r="641" ht="24.0" customHeight="1">
      <c r="B641" s="90"/>
      <c r="C641" s="90"/>
      <c r="D641" s="90"/>
      <c r="E641" s="90"/>
      <c r="F641" s="90"/>
      <c r="G641" s="90"/>
      <c r="H641" s="90"/>
      <c r="I641" s="90"/>
      <c r="J641" s="90"/>
      <c r="K641" s="90"/>
      <c r="L641" s="90"/>
      <c r="M641" s="91"/>
      <c r="N641" s="91"/>
      <c r="O641" s="91"/>
      <c r="P641" s="91"/>
      <c r="Q641" s="91"/>
      <c r="R641" s="91"/>
      <c r="S641" s="91"/>
      <c r="T641" s="91"/>
      <c r="U641" s="91"/>
      <c r="V641" s="91"/>
      <c r="W641" s="91"/>
      <c r="X641" s="91"/>
      <c r="Y641" s="91"/>
      <c r="Z641" s="91"/>
    </row>
    <row r="642" ht="24.0" customHeight="1">
      <c r="B642" s="90"/>
      <c r="C642" s="90"/>
      <c r="D642" s="90"/>
      <c r="E642" s="90"/>
      <c r="F642" s="90"/>
      <c r="G642" s="90"/>
      <c r="H642" s="90"/>
      <c r="I642" s="90"/>
      <c r="J642" s="90"/>
      <c r="K642" s="90"/>
      <c r="L642" s="90"/>
      <c r="M642" s="91"/>
      <c r="N642" s="91"/>
      <c r="O642" s="91"/>
      <c r="P642" s="91"/>
      <c r="Q642" s="91"/>
      <c r="R642" s="91"/>
      <c r="S642" s="91"/>
      <c r="T642" s="91"/>
      <c r="U642" s="91"/>
      <c r="V642" s="91"/>
      <c r="W642" s="91"/>
      <c r="X642" s="91"/>
      <c r="Y642" s="91"/>
      <c r="Z642" s="91"/>
    </row>
    <row r="643" ht="24.0" customHeight="1">
      <c r="B643" s="90"/>
      <c r="C643" s="90"/>
      <c r="D643" s="90"/>
      <c r="E643" s="90"/>
      <c r="F643" s="90"/>
      <c r="G643" s="90"/>
      <c r="H643" s="90"/>
      <c r="I643" s="90"/>
      <c r="J643" s="90"/>
      <c r="K643" s="90"/>
      <c r="L643" s="90"/>
      <c r="M643" s="91"/>
      <c r="N643" s="91"/>
      <c r="O643" s="91"/>
      <c r="P643" s="91"/>
      <c r="Q643" s="91"/>
      <c r="R643" s="91"/>
      <c r="S643" s="91"/>
      <c r="T643" s="91"/>
      <c r="U643" s="91"/>
      <c r="V643" s="91"/>
      <c r="W643" s="91"/>
      <c r="X643" s="91"/>
      <c r="Y643" s="91"/>
      <c r="Z643" s="91"/>
    </row>
    <row r="644" ht="24.0" customHeight="1">
      <c r="B644" s="90"/>
      <c r="C644" s="90"/>
      <c r="D644" s="90"/>
      <c r="E644" s="90"/>
      <c r="F644" s="90"/>
      <c r="G644" s="90"/>
      <c r="H644" s="90"/>
      <c r="I644" s="90"/>
      <c r="J644" s="90"/>
      <c r="K644" s="90"/>
      <c r="L644" s="90"/>
      <c r="M644" s="91"/>
      <c r="N644" s="91"/>
      <c r="O644" s="91"/>
      <c r="P644" s="91"/>
      <c r="Q644" s="91"/>
      <c r="R644" s="91"/>
      <c r="S644" s="91"/>
      <c r="T644" s="91"/>
      <c r="U644" s="91"/>
      <c r="V644" s="91"/>
      <c r="W644" s="91"/>
      <c r="X644" s="91"/>
      <c r="Y644" s="91"/>
      <c r="Z644" s="91"/>
    </row>
    <row r="645" ht="24.0" customHeight="1">
      <c r="B645" s="90"/>
      <c r="C645" s="90"/>
      <c r="D645" s="90"/>
      <c r="E645" s="90"/>
      <c r="F645" s="90"/>
      <c r="G645" s="90"/>
      <c r="H645" s="90"/>
      <c r="I645" s="90"/>
      <c r="J645" s="90"/>
      <c r="K645" s="90"/>
      <c r="L645" s="90"/>
      <c r="M645" s="91"/>
      <c r="N645" s="91"/>
      <c r="O645" s="91"/>
      <c r="P645" s="91"/>
      <c r="Q645" s="91"/>
      <c r="R645" s="91"/>
      <c r="S645" s="91"/>
      <c r="T645" s="91"/>
      <c r="U645" s="91"/>
      <c r="V645" s="91"/>
      <c r="W645" s="91"/>
      <c r="X645" s="91"/>
      <c r="Y645" s="91"/>
      <c r="Z645" s="91"/>
    </row>
    <row r="646" ht="24.0" customHeight="1">
      <c r="B646" s="90"/>
      <c r="C646" s="90"/>
      <c r="D646" s="90"/>
      <c r="E646" s="90"/>
      <c r="F646" s="90"/>
      <c r="G646" s="90"/>
      <c r="H646" s="90"/>
      <c r="I646" s="90"/>
      <c r="J646" s="90"/>
      <c r="K646" s="90"/>
      <c r="L646" s="90"/>
      <c r="M646" s="91"/>
      <c r="N646" s="91"/>
      <c r="O646" s="91"/>
      <c r="P646" s="91"/>
      <c r="Q646" s="91"/>
      <c r="R646" s="91"/>
      <c r="S646" s="91"/>
      <c r="T646" s="91"/>
      <c r="U646" s="91"/>
      <c r="V646" s="91"/>
      <c r="W646" s="91"/>
      <c r="X646" s="91"/>
      <c r="Y646" s="91"/>
      <c r="Z646" s="91"/>
    </row>
    <row r="647" ht="24.0" customHeight="1">
      <c r="B647" s="90"/>
      <c r="C647" s="90"/>
      <c r="D647" s="90"/>
      <c r="E647" s="90"/>
      <c r="F647" s="90"/>
      <c r="G647" s="90"/>
      <c r="H647" s="90"/>
      <c r="I647" s="90"/>
      <c r="J647" s="90"/>
      <c r="K647" s="90"/>
      <c r="L647" s="90"/>
      <c r="M647" s="91"/>
      <c r="N647" s="91"/>
      <c r="O647" s="91"/>
      <c r="P647" s="91"/>
      <c r="Q647" s="91"/>
      <c r="R647" s="91"/>
      <c r="S647" s="91"/>
      <c r="T647" s="91"/>
      <c r="U647" s="91"/>
      <c r="V647" s="91"/>
      <c r="W647" s="91"/>
      <c r="X647" s="91"/>
      <c r="Y647" s="91"/>
      <c r="Z647" s="91"/>
    </row>
    <row r="648" ht="24.0" customHeight="1">
      <c r="B648" s="90"/>
      <c r="C648" s="90"/>
      <c r="D648" s="90"/>
      <c r="E648" s="90"/>
      <c r="F648" s="90"/>
      <c r="G648" s="90"/>
      <c r="H648" s="90"/>
      <c r="I648" s="90"/>
      <c r="J648" s="90"/>
      <c r="K648" s="90"/>
      <c r="L648" s="90"/>
      <c r="M648" s="91"/>
      <c r="N648" s="91"/>
      <c r="O648" s="91"/>
      <c r="P648" s="91"/>
      <c r="Q648" s="91"/>
      <c r="R648" s="91"/>
      <c r="S648" s="91"/>
      <c r="T648" s="91"/>
      <c r="U648" s="91"/>
      <c r="V648" s="91"/>
      <c r="W648" s="91"/>
      <c r="X648" s="91"/>
      <c r="Y648" s="91"/>
      <c r="Z648" s="91"/>
    </row>
    <row r="649" ht="24.0" customHeight="1">
      <c r="B649" s="90"/>
      <c r="C649" s="90"/>
      <c r="D649" s="90"/>
      <c r="E649" s="90"/>
      <c r="F649" s="90"/>
      <c r="G649" s="90"/>
      <c r="H649" s="90"/>
      <c r="I649" s="90"/>
      <c r="J649" s="90"/>
      <c r="K649" s="90"/>
      <c r="L649" s="90"/>
      <c r="M649" s="91"/>
      <c r="N649" s="91"/>
      <c r="O649" s="91"/>
      <c r="P649" s="91"/>
      <c r="Q649" s="91"/>
      <c r="R649" s="91"/>
      <c r="S649" s="91"/>
      <c r="T649" s="91"/>
      <c r="U649" s="91"/>
      <c r="V649" s="91"/>
      <c r="W649" s="91"/>
      <c r="X649" s="91"/>
      <c r="Y649" s="91"/>
      <c r="Z649" s="91"/>
    </row>
    <row r="650" ht="24.0" customHeight="1">
      <c r="B650" s="90"/>
      <c r="C650" s="90"/>
      <c r="D650" s="90"/>
      <c r="E650" s="90"/>
      <c r="F650" s="90"/>
      <c r="G650" s="90"/>
      <c r="H650" s="90"/>
      <c r="I650" s="90"/>
      <c r="J650" s="90"/>
      <c r="K650" s="90"/>
      <c r="L650" s="90"/>
      <c r="M650" s="91"/>
      <c r="N650" s="91"/>
      <c r="O650" s="91"/>
      <c r="P650" s="91"/>
      <c r="Q650" s="91"/>
      <c r="R650" s="91"/>
      <c r="S650" s="91"/>
      <c r="T650" s="91"/>
      <c r="U650" s="91"/>
      <c r="V650" s="91"/>
      <c r="W650" s="91"/>
      <c r="X650" s="91"/>
      <c r="Y650" s="91"/>
      <c r="Z650" s="91"/>
    </row>
    <row r="651" ht="24.0" customHeight="1">
      <c r="B651" s="90"/>
      <c r="C651" s="90"/>
      <c r="D651" s="90"/>
      <c r="E651" s="90"/>
      <c r="F651" s="90"/>
      <c r="G651" s="90"/>
      <c r="H651" s="90"/>
      <c r="I651" s="90"/>
      <c r="J651" s="90"/>
      <c r="K651" s="90"/>
      <c r="L651" s="90"/>
      <c r="M651" s="91"/>
      <c r="N651" s="91"/>
      <c r="O651" s="91"/>
      <c r="P651" s="91"/>
      <c r="Q651" s="91"/>
      <c r="R651" s="91"/>
      <c r="S651" s="91"/>
      <c r="T651" s="91"/>
      <c r="U651" s="91"/>
      <c r="V651" s="91"/>
      <c r="W651" s="91"/>
      <c r="X651" s="91"/>
      <c r="Y651" s="91"/>
      <c r="Z651" s="91"/>
    </row>
    <row r="652" ht="24.0" customHeight="1">
      <c r="B652" s="90"/>
      <c r="C652" s="90"/>
      <c r="D652" s="90"/>
      <c r="E652" s="90"/>
      <c r="F652" s="90"/>
      <c r="G652" s="90"/>
      <c r="H652" s="90"/>
      <c r="I652" s="90"/>
      <c r="J652" s="90"/>
      <c r="K652" s="90"/>
      <c r="L652" s="90"/>
      <c r="M652" s="91"/>
      <c r="N652" s="91"/>
      <c r="O652" s="91"/>
      <c r="P652" s="91"/>
      <c r="Q652" s="91"/>
      <c r="R652" s="91"/>
      <c r="S652" s="91"/>
      <c r="T652" s="91"/>
      <c r="U652" s="91"/>
      <c r="V652" s="91"/>
      <c r="W652" s="91"/>
      <c r="X652" s="91"/>
      <c r="Y652" s="91"/>
      <c r="Z652" s="91"/>
    </row>
    <row r="653" ht="24.0" customHeight="1">
      <c r="B653" s="90"/>
      <c r="C653" s="90"/>
      <c r="D653" s="90"/>
      <c r="E653" s="90"/>
      <c r="F653" s="90"/>
      <c r="G653" s="90"/>
      <c r="H653" s="90"/>
      <c r="I653" s="90"/>
      <c r="J653" s="90"/>
      <c r="K653" s="90"/>
      <c r="L653" s="90"/>
      <c r="M653" s="91"/>
      <c r="N653" s="91"/>
      <c r="O653" s="91"/>
      <c r="P653" s="91"/>
      <c r="Q653" s="91"/>
      <c r="R653" s="91"/>
      <c r="S653" s="91"/>
      <c r="T653" s="91"/>
      <c r="U653" s="91"/>
      <c r="V653" s="91"/>
      <c r="W653" s="91"/>
      <c r="X653" s="91"/>
      <c r="Y653" s="91"/>
      <c r="Z653" s="91"/>
    </row>
    <row r="654" ht="24.0" customHeight="1">
      <c r="B654" s="90"/>
      <c r="C654" s="90"/>
      <c r="D654" s="90"/>
      <c r="E654" s="90"/>
      <c r="F654" s="90"/>
      <c r="G654" s="90"/>
      <c r="H654" s="90"/>
      <c r="I654" s="90"/>
      <c r="J654" s="90"/>
      <c r="K654" s="90"/>
      <c r="L654" s="90"/>
      <c r="M654" s="91"/>
      <c r="N654" s="91"/>
      <c r="O654" s="91"/>
      <c r="P654" s="91"/>
      <c r="Q654" s="91"/>
      <c r="R654" s="91"/>
      <c r="S654" s="91"/>
      <c r="T654" s="91"/>
      <c r="U654" s="91"/>
      <c r="V654" s="91"/>
      <c r="W654" s="91"/>
      <c r="X654" s="91"/>
      <c r="Y654" s="91"/>
      <c r="Z654" s="91"/>
    </row>
    <row r="655" ht="24.0" customHeight="1">
      <c r="B655" s="90"/>
      <c r="C655" s="90"/>
      <c r="D655" s="90"/>
      <c r="E655" s="90"/>
      <c r="F655" s="90"/>
      <c r="G655" s="90"/>
      <c r="H655" s="90"/>
      <c r="I655" s="90"/>
      <c r="J655" s="90"/>
      <c r="K655" s="90"/>
      <c r="L655" s="90"/>
      <c r="M655" s="91"/>
      <c r="N655" s="91"/>
      <c r="O655" s="91"/>
      <c r="P655" s="91"/>
      <c r="Q655" s="91"/>
      <c r="R655" s="91"/>
      <c r="S655" s="91"/>
      <c r="T655" s="91"/>
      <c r="U655" s="91"/>
      <c r="V655" s="91"/>
      <c r="W655" s="91"/>
      <c r="X655" s="91"/>
      <c r="Y655" s="91"/>
      <c r="Z655" s="91"/>
    </row>
    <row r="656" ht="24.0" customHeight="1">
      <c r="B656" s="90"/>
      <c r="C656" s="90"/>
      <c r="D656" s="90"/>
      <c r="E656" s="90"/>
      <c r="F656" s="90"/>
      <c r="G656" s="90"/>
      <c r="H656" s="90"/>
      <c r="I656" s="90"/>
      <c r="J656" s="90"/>
      <c r="K656" s="90"/>
      <c r="L656" s="90"/>
      <c r="M656" s="91"/>
      <c r="N656" s="91"/>
      <c r="O656" s="91"/>
      <c r="P656" s="91"/>
      <c r="Q656" s="91"/>
      <c r="R656" s="91"/>
      <c r="S656" s="91"/>
      <c r="T656" s="91"/>
      <c r="U656" s="91"/>
      <c r="V656" s="91"/>
      <c r="W656" s="91"/>
      <c r="X656" s="91"/>
      <c r="Y656" s="91"/>
      <c r="Z656" s="91"/>
    </row>
    <row r="657" ht="24.0" customHeight="1">
      <c r="B657" s="90"/>
      <c r="C657" s="90"/>
      <c r="D657" s="90"/>
      <c r="E657" s="90"/>
      <c r="F657" s="90"/>
      <c r="G657" s="90"/>
      <c r="H657" s="90"/>
      <c r="I657" s="90"/>
      <c r="J657" s="90"/>
      <c r="K657" s="90"/>
      <c r="L657" s="90"/>
      <c r="M657" s="91"/>
      <c r="N657" s="91"/>
      <c r="O657" s="91"/>
      <c r="P657" s="91"/>
      <c r="Q657" s="91"/>
      <c r="R657" s="91"/>
      <c r="S657" s="91"/>
      <c r="T657" s="91"/>
      <c r="U657" s="91"/>
      <c r="V657" s="91"/>
      <c r="W657" s="91"/>
      <c r="X657" s="91"/>
      <c r="Y657" s="91"/>
      <c r="Z657" s="91"/>
    </row>
    <row r="658" ht="24.0" customHeight="1">
      <c r="B658" s="90"/>
      <c r="C658" s="90"/>
      <c r="D658" s="90"/>
      <c r="E658" s="90"/>
      <c r="F658" s="90"/>
      <c r="G658" s="90"/>
      <c r="H658" s="90"/>
      <c r="I658" s="90"/>
      <c r="J658" s="90"/>
      <c r="K658" s="90"/>
      <c r="L658" s="90"/>
      <c r="M658" s="91"/>
      <c r="N658" s="91"/>
      <c r="O658" s="91"/>
      <c r="P658" s="91"/>
      <c r="Q658" s="91"/>
      <c r="R658" s="91"/>
      <c r="S658" s="91"/>
      <c r="T658" s="91"/>
      <c r="U658" s="91"/>
      <c r="V658" s="91"/>
      <c r="W658" s="91"/>
      <c r="X658" s="91"/>
      <c r="Y658" s="91"/>
      <c r="Z658" s="91"/>
    </row>
    <row r="659" ht="24.0" customHeight="1">
      <c r="B659" s="90"/>
      <c r="C659" s="90"/>
      <c r="D659" s="90"/>
      <c r="E659" s="90"/>
      <c r="F659" s="90"/>
      <c r="G659" s="90"/>
      <c r="H659" s="90"/>
      <c r="I659" s="90"/>
      <c r="J659" s="90"/>
      <c r="K659" s="90"/>
      <c r="L659" s="90"/>
      <c r="M659" s="91"/>
      <c r="N659" s="91"/>
      <c r="O659" s="91"/>
      <c r="P659" s="91"/>
      <c r="Q659" s="91"/>
      <c r="R659" s="91"/>
      <c r="S659" s="91"/>
      <c r="T659" s="91"/>
      <c r="U659" s="91"/>
      <c r="V659" s="91"/>
      <c r="W659" s="91"/>
      <c r="X659" s="91"/>
      <c r="Y659" s="91"/>
      <c r="Z659" s="91"/>
    </row>
    <row r="660" ht="24.0" customHeight="1">
      <c r="B660" s="90"/>
      <c r="C660" s="90"/>
      <c r="D660" s="90"/>
      <c r="E660" s="90"/>
      <c r="F660" s="90"/>
      <c r="G660" s="90"/>
      <c r="H660" s="90"/>
      <c r="I660" s="90"/>
      <c r="J660" s="90"/>
      <c r="K660" s="90"/>
      <c r="L660" s="90"/>
      <c r="M660" s="91"/>
      <c r="N660" s="91"/>
      <c r="O660" s="91"/>
      <c r="P660" s="91"/>
      <c r="Q660" s="91"/>
      <c r="R660" s="91"/>
      <c r="S660" s="91"/>
      <c r="T660" s="91"/>
      <c r="U660" s="91"/>
      <c r="V660" s="91"/>
      <c r="W660" s="91"/>
      <c r="X660" s="91"/>
      <c r="Y660" s="91"/>
      <c r="Z660" s="91"/>
    </row>
    <row r="661" ht="24.0" customHeight="1">
      <c r="B661" s="90"/>
      <c r="C661" s="90"/>
      <c r="D661" s="90"/>
      <c r="E661" s="90"/>
      <c r="F661" s="90"/>
      <c r="G661" s="90"/>
      <c r="H661" s="90"/>
      <c r="I661" s="90"/>
      <c r="J661" s="90"/>
      <c r="K661" s="90"/>
      <c r="L661" s="90"/>
      <c r="M661" s="91"/>
      <c r="N661" s="91"/>
      <c r="O661" s="91"/>
      <c r="P661" s="91"/>
      <c r="Q661" s="91"/>
      <c r="R661" s="91"/>
      <c r="S661" s="91"/>
      <c r="T661" s="91"/>
      <c r="U661" s="91"/>
      <c r="V661" s="91"/>
      <c r="W661" s="91"/>
      <c r="X661" s="91"/>
      <c r="Y661" s="91"/>
      <c r="Z661" s="91"/>
    </row>
    <row r="662" ht="24.0" customHeight="1">
      <c r="B662" s="90"/>
      <c r="C662" s="90"/>
      <c r="D662" s="90"/>
      <c r="E662" s="90"/>
      <c r="F662" s="90"/>
      <c r="G662" s="90"/>
      <c r="H662" s="90"/>
      <c r="I662" s="90"/>
      <c r="J662" s="90"/>
      <c r="K662" s="90"/>
      <c r="L662" s="90"/>
      <c r="M662" s="91"/>
      <c r="N662" s="91"/>
      <c r="O662" s="91"/>
      <c r="P662" s="91"/>
      <c r="Q662" s="91"/>
      <c r="R662" s="91"/>
      <c r="S662" s="91"/>
      <c r="T662" s="91"/>
      <c r="U662" s="91"/>
      <c r="V662" s="91"/>
      <c r="W662" s="91"/>
      <c r="X662" s="91"/>
      <c r="Y662" s="91"/>
      <c r="Z662" s="91"/>
    </row>
    <row r="663" ht="24.0" customHeight="1">
      <c r="B663" s="90"/>
      <c r="C663" s="90"/>
      <c r="D663" s="90"/>
      <c r="E663" s="90"/>
      <c r="F663" s="90"/>
      <c r="G663" s="90"/>
      <c r="H663" s="90"/>
      <c r="I663" s="90"/>
      <c r="J663" s="90"/>
      <c r="K663" s="90"/>
      <c r="L663" s="90"/>
      <c r="M663" s="91"/>
      <c r="N663" s="91"/>
      <c r="O663" s="91"/>
      <c r="P663" s="91"/>
      <c r="Q663" s="91"/>
      <c r="R663" s="91"/>
      <c r="S663" s="91"/>
      <c r="T663" s="91"/>
      <c r="U663" s="91"/>
      <c r="V663" s="91"/>
      <c r="W663" s="91"/>
      <c r="X663" s="91"/>
      <c r="Y663" s="91"/>
      <c r="Z663" s="91"/>
    </row>
    <row r="664" ht="24.0" customHeight="1">
      <c r="B664" s="90"/>
      <c r="C664" s="90"/>
      <c r="D664" s="90"/>
      <c r="E664" s="90"/>
      <c r="F664" s="90"/>
      <c r="G664" s="90"/>
      <c r="H664" s="90"/>
      <c r="I664" s="90"/>
      <c r="J664" s="90"/>
      <c r="K664" s="90"/>
      <c r="L664" s="90"/>
      <c r="M664" s="91"/>
      <c r="N664" s="91"/>
      <c r="O664" s="91"/>
      <c r="P664" s="91"/>
      <c r="Q664" s="91"/>
      <c r="R664" s="91"/>
      <c r="S664" s="91"/>
      <c r="T664" s="91"/>
      <c r="U664" s="91"/>
      <c r="V664" s="91"/>
      <c r="W664" s="91"/>
      <c r="X664" s="91"/>
      <c r="Y664" s="91"/>
      <c r="Z664" s="91"/>
    </row>
    <row r="665" ht="24.0" customHeight="1">
      <c r="B665" s="90"/>
      <c r="C665" s="90"/>
      <c r="D665" s="90"/>
      <c r="E665" s="90"/>
      <c r="F665" s="90"/>
      <c r="G665" s="90"/>
      <c r="H665" s="90"/>
      <c r="I665" s="90"/>
      <c r="J665" s="90"/>
      <c r="K665" s="90"/>
      <c r="L665" s="90"/>
      <c r="M665" s="91"/>
      <c r="N665" s="91"/>
      <c r="O665" s="91"/>
      <c r="P665" s="91"/>
      <c r="Q665" s="91"/>
      <c r="R665" s="91"/>
      <c r="S665" s="91"/>
      <c r="T665" s="91"/>
      <c r="U665" s="91"/>
      <c r="V665" s="91"/>
      <c r="W665" s="91"/>
      <c r="X665" s="91"/>
      <c r="Y665" s="91"/>
      <c r="Z665" s="91"/>
    </row>
    <row r="666" ht="24.0" customHeight="1">
      <c r="B666" s="90"/>
      <c r="C666" s="90"/>
      <c r="D666" s="90"/>
      <c r="E666" s="90"/>
      <c r="F666" s="90"/>
      <c r="G666" s="90"/>
      <c r="H666" s="90"/>
      <c r="I666" s="90"/>
      <c r="J666" s="90"/>
      <c r="K666" s="90"/>
      <c r="L666" s="90"/>
      <c r="M666" s="91"/>
      <c r="N666" s="91"/>
      <c r="O666" s="91"/>
      <c r="P666" s="91"/>
      <c r="Q666" s="91"/>
      <c r="R666" s="91"/>
      <c r="S666" s="91"/>
      <c r="T666" s="91"/>
      <c r="U666" s="91"/>
      <c r="V666" s="91"/>
      <c r="W666" s="91"/>
      <c r="X666" s="91"/>
      <c r="Y666" s="91"/>
      <c r="Z666" s="91"/>
    </row>
    <row r="667" ht="24.0" customHeight="1">
      <c r="B667" s="90"/>
      <c r="C667" s="90"/>
      <c r="D667" s="90"/>
      <c r="E667" s="90"/>
      <c r="F667" s="90"/>
      <c r="G667" s="90"/>
      <c r="H667" s="90"/>
      <c r="I667" s="90"/>
      <c r="J667" s="90"/>
      <c r="K667" s="90"/>
      <c r="L667" s="90"/>
      <c r="M667" s="91"/>
      <c r="N667" s="91"/>
      <c r="O667" s="91"/>
      <c r="P667" s="91"/>
      <c r="Q667" s="91"/>
      <c r="R667" s="91"/>
      <c r="S667" s="91"/>
      <c r="T667" s="91"/>
      <c r="U667" s="91"/>
      <c r="V667" s="91"/>
      <c r="W667" s="91"/>
      <c r="X667" s="91"/>
      <c r="Y667" s="91"/>
      <c r="Z667" s="91"/>
    </row>
    <row r="668" ht="24.0" customHeight="1">
      <c r="B668" s="90"/>
      <c r="C668" s="90"/>
      <c r="D668" s="90"/>
      <c r="E668" s="90"/>
      <c r="F668" s="90"/>
      <c r="G668" s="90"/>
      <c r="H668" s="90"/>
      <c r="I668" s="90"/>
      <c r="J668" s="90"/>
      <c r="K668" s="90"/>
      <c r="L668" s="90"/>
      <c r="M668" s="91"/>
      <c r="N668" s="91"/>
      <c r="O668" s="91"/>
      <c r="P668" s="91"/>
      <c r="Q668" s="91"/>
      <c r="R668" s="91"/>
      <c r="S668" s="91"/>
      <c r="T668" s="91"/>
      <c r="U668" s="91"/>
      <c r="V668" s="91"/>
      <c r="W668" s="91"/>
      <c r="X668" s="91"/>
      <c r="Y668" s="91"/>
      <c r="Z668" s="91"/>
    </row>
    <row r="669" ht="24.0" customHeight="1">
      <c r="B669" s="90"/>
      <c r="C669" s="90"/>
      <c r="D669" s="90"/>
      <c r="E669" s="90"/>
      <c r="F669" s="90"/>
      <c r="G669" s="90"/>
      <c r="H669" s="90"/>
      <c r="I669" s="90"/>
      <c r="J669" s="90"/>
      <c r="K669" s="90"/>
      <c r="L669" s="90"/>
      <c r="M669" s="91"/>
      <c r="N669" s="91"/>
      <c r="O669" s="91"/>
      <c r="P669" s="91"/>
      <c r="Q669" s="91"/>
      <c r="R669" s="91"/>
      <c r="S669" s="91"/>
      <c r="T669" s="91"/>
      <c r="U669" s="91"/>
      <c r="V669" s="91"/>
      <c r="W669" s="91"/>
      <c r="X669" s="91"/>
      <c r="Y669" s="91"/>
      <c r="Z669" s="91"/>
    </row>
    <row r="670" ht="24.0" customHeight="1">
      <c r="B670" s="90"/>
      <c r="C670" s="90"/>
      <c r="D670" s="90"/>
      <c r="E670" s="90"/>
      <c r="F670" s="90"/>
      <c r="G670" s="90"/>
      <c r="H670" s="90"/>
      <c r="I670" s="90"/>
      <c r="J670" s="90"/>
      <c r="K670" s="90"/>
      <c r="L670" s="90"/>
      <c r="M670" s="91"/>
      <c r="N670" s="91"/>
      <c r="O670" s="91"/>
      <c r="P670" s="91"/>
      <c r="Q670" s="91"/>
      <c r="R670" s="91"/>
      <c r="S670" s="91"/>
      <c r="T670" s="91"/>
      <c r="U670" s="91"/>
      <c r="V670" s="91"/>
      <c r="W670" s="91"/>
      <c r="X670" s="91"/>
      <c r="Y670" s="91"/>
      <c r="Z670" s="91"/>
    </row>
    <row r="671" ht="24.0" customHeight="1">
      <c r="B671" s="90"/>
      <c r="C671" s="90"/>
      <c r="D671" s="90"/>
      <c r="E671" s="90"/>
      <c r="F671" s="90"/>
      <c r="G671" s="90"/>
      <c r="H671" s="90"/>
      <c r="I671" s="90"/>
      <c r="J671" s="90"/>
      <c r="K671" s="90"/>
      <c r="L671" s="90"/>
      <c r="M671" s="91"/>
      <c r="N671" s="91"/>
      <c r="O671" s="91"/>
      <c r="P671" s="91"/>
      <c r="Q671" s="91"/>
      <c r="R671" s="91"/>
      <c r="S671" s="91"/>
      <c r="T671" s="91"/>
      <c r="U671" s="91"/>
      <c r="V671" s="91"/>
      <c r="W671" s="91"/>
      <c r="X671" s="91"/>
      <c r="Y671" s="91"/>
      <c r="Z671" s="91"/>
    </row>
    <row r="672" ht="24.0" customHeight="1">
      <c r="B672" s="90"/>
      <c r="C672" s="90"/>
      <c r="D672" s="90"/>
      <c r="E672" s="90"/>
      <c r="F672" s="90"/>
      <c r="G672" s="90"/>
      <c r="H672" s="90"/>
      <c r="I672" s="90"/>
      <c r="J672" s="90"/>
      <c r="K672" s="90"/>
      <c r="L672" s="90"/>
      <c r="M672" s="91"/>
      <c r="N672" s="91"/>
      <c r="O672" s="91"/>
      <c r="P672" s="91"/>
      <c r="Q672" s="91"/>
      <c r="R672" s="91"/>
      <c r="S672" s="91"/>
      <c r="T672" s="91"/>
      <c r="U672" s="91"/>
      <c r="V672" s="91"/>
      <c r="W672" s="91"/>
      <c r="X672" s="91"/>
      <c r="Y672" s="91"/>
      <c r="Z672" s="91"/>
    </row>
    <row r="673" ht="24.0" customHeight="1">
      <c r="B673" s="90"/>
      <c r="C673" s="90"/>
      <c r="D673" s="90"/>
      <c r="E673" s="90"/>
      <c r="F673" s="90"/>
      <c r="G673" s="90"/>
      <c r="H673" s="90"/>
      <c r="I673" s="90"/>
      <c r="J673" s="90"/>
      <c r="K673" s="90"/>
      <c r="L673" s="90"/>
      <c r="M673" s="91"/>
      <c r="N673" s="91"/>
      <c r="O673" s="91"/>
      <c r="P673" s="91"/>
      <c r="Q673" s="91"/>
      <c r="R673" s="91"/>
      <c r="S673" s="91"/>
      <c r="T673" s="91"/>
      <c r="U673" s="91"/>
      <c r="V673" s="91"/>
      <c r="W673" s="91"/>
      <c r="X673" s="91"/>
      <c r="Y673" s="91"/>
      <c r="Z673" s="91"/>
    </row>
    <row r="674" ht="24.0" customHeight="1">
      <c r="B674" s="90"/>
      <c r="C674" s="90"/>
      <c r="D674" s="90"/>
      <c r="E674" s="90"/>
      <c r="F674" s="90"/>
      <c r="G674" s="90"/>
      <c r="H674" s="90"/>
      <c r="I674" s="90"/>
      <c r="J674" s="90"/>
      <c r="K674" s="90"/>
      <c r="L674" s="90"/>
      <c r="M674" s="91"/>
      <c r="N674" s="91"/>
      <c r="O674" s="91"/>
      <c r="P674" s="91"/>
      <c r="Q674" s="91"/>
      <c r="R674" s="91"/>
      <c r="S674" s="91"/>
      <c r="T674" s="91"/>
      <c r="U674" s="91"/>
      <c r="V674" s="91"/>
      <c r="W674" s="91"/>
      <c r="X674" s="91"/>
      <c r="Y674" s="91"/>
      <c r="Z674" s="91"/>
    </row>
    <row r="675" ht="24.0" customHeight="1">
      <c r="B675" s="90"/>
      <c r="C675" s="90"/>
      <c r="D675" s="90"/>
      <c r="E675" s="90"/>
      <c r="F675" s="90"/>
      <c r="G675" s="90"/>
      <c r="H675" s="90"/>
      <c r="I675" s="90"/>
      <c r="J675" s="90"/>
      <c r="K675" s="90"/>
      <c r="L675" s="90"/>
      <c r="M675" s="91"/>
      <c r="N675" s="91"/>
      <c r="O675" s="91"/>
      <c r="P675" s="91"/>
      <c r="Q675" s="91"/>
      <c r="R675" s="91"/>
      <c r="S675" s="91"/>
      <c r="T675" s="91"/>
      <c r="U675" s="91"/>
      <c r="V675" s="91"/>
      <c r="W675" s="91"/>
      <c r="X675" s="91"/>
      <c r="Y675" s="91"/>
      <c r="Z675" s="91"/>
    </row>
    <row r="676" ht="24.0" customHeight="1">
      <c r="B676" s="90"/>
      <c r="C676" s="90"/>
      <c r="D676" s="90"/>
      <c r="E676" s="90"/>
      <c r="F676" s="90"/>
      <c r="G676" s="90"/>
      <c r="H676" s="90"/>
      <c r="I676" s="90"/>
      <c r="J676" s="90"/>
      <c r="K676" s="90"/>
      <c r="L676" s="90"/>
      <c r="M676" s="91"/>
      <c r="N676" s="91"/>
      <c r="O676" s="91"/>
      <c r="P676" s="91"/>
      <c r="Q676" s="91"/>
      <c r="R676" s="91"/>
      <c r="S676" s="91"/>
      <c r="T676" s="91"/>
      <c r="U676" s="91"/>
      <c r="V676" s="91"/>
      <c r="W676" s="91"/>
      <c r="X676" s="91"/>
      <c r="Y676" s="91"/>
      <c r="Z676" s="91"/>
    </row>
    <row r="677" ht="24.0" customHeight="1">
      <c r="B677" s="90"/>
      <c r="C677" s="90"/>
      <c r="D677" s="90"/>
      <c r="E677" s="90"/>
      <c r="F677" s="90"/>
      <c r="G677" s="90"/>
      <c r="H677" s="90"/>
      <c r="I677" s="90"/>
      <c r="J677" s="90"/>
      <c r="K677" s="90"/>
      <c r="L677" s="90"/>
      <c r="M677" s="91"/>
      <c r="N677" s="91"/>
      <c r="O677" s="91"/>
      <c r="P677" s="91"/>
      <c r="Q677" s="91"/>
      <c r="R677" s="91"/>
      <c r="S677" s="91"/>
      <c r="T677" s="91"/>
      <c r="U677" s="91"/>
      <c r="V677" s="91"/>
      <c r="W677" s="91"/>
      <c r="X677" s="91"/>
      <c r="Y677" s="91"/>
      <c r="Z677" s="91"/>
    </row>
    <row r="678" ht="24.0" customHeight="1">
      <c r="B678" s="90"/>
      <c r="C678" s="90"/>
      <c r="D678" s="90"/>
      <c r="E678" s="90"/>
      <c r="F678" s="90"/>
      <c r="G678" s="90"/>
      <c r="H678" s="90"/>
      <c r="I678" s="90"/>
      <c r="J678" s="90"/>
      <c r="K678" s="90"/>
      <c r="L678" s="90"/>
      <c r="M678" s="91"/>
      <c r="N678" s="91"/>
      <c r="O678" s="91"/>
      <c r="P678" s="91"/>
      <c r="Q678" s="91"/>
      <c r="R678" s="91"/>
      <c r="S678" s="91"/>
      <c r="T678" s="91"/>
      <c r="U678" s="91"/>
      <c r="V678" s="91"/>
      <c r="W678" s="91"/>
      <c r="X678" s="91"/>
      <c r="Y678" s="91"/>
      <c r="Z678" s="91"/>
    </row>
    <row r="679" ht="24.0" customHeight="1">
      <c r="B679" s="90"/>
      <c r="C679" s="90"/>
      <c r="D679" s="90"/>
      <c r="E679" s="90"/>
      <c r="F679" s="90"/>
      <c r="G679" s="90"/>
      <c r="H679" s="90"/>
      <c r="I679" s="90"/>
      <c r="J679" s="90"/>
      <c r="K679" s="90"/>
      <c r="L679" s="90"/>
      <c r="M679" s="91"/>
      <c r="N679" s="91"/>
      <c r="O679" s="91"/>
      <c r="P679" s="91"/>
      <c r="Q679" s="91"/>
      <c r="R679" s="91"/>
      <c r="S679" s="91"/>
      <c r="T679" s="91"/>
      <c r="U679" s="91"/>
      <c r="V679" s="91"/>
      <c r="W679" s="91"/>
      <c r="X679" s="91"/>
      <c r="Y679" s="91"/>
      <c r="Z679" s="91"/>
    </row>
    <row r="680" ht="24.0" customHeight="1">
      <c r="B680" s="90"/>
      <c r="C680" s="90"/>
      <c r="D680" s="90"/>
      <c r="E680" s="90"/>
      <c r="F680" s="90"/>
      <c r="G680" s="90"/>
      <c r="H680" s="90"/>
      <c r="I680" s="90"/>
      <c r="J680" s="90"/>
      <c r="K680" s="90"/>
      <c r="L680" s="90"/>
      <c r="M680" s="91"/>
      <c r="N680" s="91"/>
      <c r="O680" s="91"/>
      <c r="P680" s="91"/>
      <c r="Q680" s="91"/>
      <c r="R680" s="91"/>
      <c r="S680" s="91"/>
      <c r="T680" s="91"/>
      <c r="U680" s="91"/>
      <c r="V680" s="91"/>
      <c r="W680" s="91"/>
      <c r="X680" s="91"/>
      <c r="Y680" s="91"/>
      <c r="Z680" s="91"/>
    </row>
    <row r="681" ht="24.0" customHeight="1">
      <c r="B681" s="90"/>
      <c r="C681" s="90"/>
      <c r="D681" s="90"/>
      <c r="E681" s="90"/>
      <c r="F681" s="90"/>
      <c r="G681" s="90"/>
      <c r="H681" s="90"/>
      <c r="I681" s="90"/>
      <c r="J681" s="90"/>
      <c r="K681" s="90"/>
      <c r="L681" s="90"/>
      <c r="M681" s="91"/>
      <c r="N681" s="91"/>
      <c r="O681" s="91"/>
      <c r="P681" s="91"/>
      <c r="Q681" s="91"/>
      <c r="R681" s="91"/>
      <c r="S681" s="91"/>
      <c r="T681" s="91"/>
      <c r="U681" s="91"/>
      <c r="V681" s="91"/>
      <c r="W681" s="91"/>
      <c r="X681" s="91"/>
      <c r="Y681" s="91"/>
      <c r="Z681" s="91"/>
    </row>
    <row r="682" ht="24.0" customHeight="1">
      <c r="B682" s="90"/>
      <c r="C682" s="90"/>
      <c r="D682" s="90"/>
      <c r="E682" s="90"/>
      <c r="F682" s="90"/>
      <c r="G682" s="90"/>
      <c r="H682" s="90"/>
      <c r="I682" s="90"/>
      <c r="J682" s="90"/>
      <c r="K682" s="90"/>
      <c r="L682" s="90"/>
      <c r="M682" s="91"/>
      <c r="N682" s="91"/>
      <c r="O682" s="91"/>
      <c r="P682" s="91"/>
      <c r="Q682" s="91"/>
      <c r="R682" s="91"/>
      <c r="S682" s="91"/>
      <c r="T682" s="91"/>
      <c r="U682" s="91"/>
      <c r="V682" s="91"/>
      <c r="W682" s="91"/>
      <c r="X682" s="91"/>
      <c r="Y682" s="91"/>
      <c r="Z682" s="91"/>
    </row>
    <row r="683" ht="24.0" customHeight="1">
      <c r="B683" s="90"/>
      <c r="C683" s="90"/>
      <c r="D683" s="90"/>
      <c r="E683" s="90"/>
      <c r="F683" s="90"/>
      <c r="G683" s="90"/>
      <c r="H683" s="90"/>
      <c r="I683" s="90"/>
      <c r="J683" s="90"/>
      <c r="K683" s="90"/>
      <c r="L683" s="90"/>
      <c r="M683" s="91"/>
      <c r="N683" s="91"/>
      <c r="O683" s="91"/>
      <c r="P683" s="91"/>
      <c r="Q683" s="91"/>
      <c r="R683" s="91"/>
      <c r="S683" s="91"/>
      <c r="T683" s="91"/>
      <c r="U683" s="91"/>
      <c r="V683" s="91"/>
      <c r="W683" s="91"/>
      <c r="X683" s="91"/>
      <c r="Y683" s="91"/>
      <c r="Z683" s="91"/>
    </row>
    <row r="684" ht="24.0" customHeight="1">
      <c r="B684" s="90"/>
      <c r="C684" s="90"/>
      <c r="D684" s="90"/>
      <c r="E684" s="90"/>
      <c r="F684" s="90"/>
      <c r="G684" s="90"/>
      <c r="H684" s="90"/>
      <c r="I684" s="90"/>
      <c r="J684" s="90"/>
      <c r="K684" s="90"/>
      <c r="L684" s="90"/>
      <c r="M684" s="91"/>
      <c r="N684" s="91"/>
      <c r="O684" s="91"/>
      <c r="P684" s="91"/>
      <c r="Q684" s="91"/>
      <c r="R684" s="91"/>
      <c r="S684" s="91"/>
      <c r="T684" s="91"/>
      <c r="U684" s="91"/>
      <c r="V684" s="91"/>
      <c r="W684" s="91"/>
      <c r="X684" s="91"/>
      <c r="Y684" s="91"/>
      <c r="Z684" s="91"/>
    </row>
    <row r="685" ht="24.0" customHeight="1">
      <c r="B685" s="90"/>
      <c r="C685" s="90"/>
      <c r="D685" s="90"/>
      <c r="E685" s="90"/>
      <c r="F685" s="90"/>
      <c r="G685" s="90"/>
      <c r="H685" s="90"/>
      <c r="I685" s="90"/>
      <c r="J685" s="90"/>
      <c r="K685" s="90"/>
      <c r="L685" s="90"/>
      <c r="M685" s="91"/>
      <c r="N685" s="91"/>
      <c r="O685" s="91"/>
      <c r="P685" s="91"/>
      <c r="Q685" s="91"/>
      <c r="R685" s="91"/>
      <c r="S685" s="91"/>
      <c r="T685" s="91"/>
      <c r="U685" s="91"/>
      <c r="V685" s="91"/>
      <c r="W685" s="91"/>
      <c r="X685" s="91"/>
      <c r="Y685" s="91"/>
      <c r="Z685" s="91"/>
    </row>
    <row r="686" ht="24.0" customHeight="1">
      <c r="B686" s="90"/>
      <c r="C686" s="90"/>
      <c r="D686" s="90"/>
      <c r="E686" s="90"/>
      <c r="F686" s="90"/>
      <c r="G686" s="90"/>
      <c r="H686" s="90"/>
      <c r="I686" s="90"/>
      <c r="J686" s="90"/>
      <c r="K686" s="90"/>
      <c r="L686" s="90"/>
      <c r="M686" s="91"/>
      <c r="N686" s="91"/>
      <c r="O686" s="91"/>
      <c r="P686" s="91"/>
      <c r="Q686" s="91"/>
      <c r="R686" s="91"/>
      <c r="S686" s="91"/>
      <c r="T686" s="91"/>
      <c r="U686" s="91"/>
      <c r="V686" s="91"/>
      <c r="W686" s="91"/>
      <c r="X686" s="91"/>
      <c r="Y686" s="91"/>
      <c r="Z686" s="91"/>
    </row>
    <row r="687" ht="24.0" customHeight="1">
      <c r="B687" s="90"/>
      <c r="C687" s="90"/>
      <c r="D687" s="90"/>
      <c r="E687" s="90"/>
      <c r="F687" s="90"/>
      <c r="G687" s="90"/>
      <c r="H687" s="90"/>
      <c r="I687" s="90"/>
      <c r="J687" s="90"/>
      <c r="K687" s="90"/>
      <c r="L687" s="90"/>
      <c r="M687" s="91"/>
      <c r="N687" s="91"/>
      <c r="O687" s="91"/>
      <c r="P687" s="91"/>
      <c r="Q687" s="91"/>
      <c r="R687" s="91"/>
      <c r="S687" s="91"/>
      <c r="T687" s="91"/>
      <c r="U687" s="91"/>
      <c r="V687" s="91"/>
      <c r="W687" s="91"/>
      <c r="X687" s="91"/>
      <c r="Y687" s="91"/>
      <c r="Z687" s="91"/>
    </row>
    <row r="688" ht="24.0" customHeight="1">
      <c r="B688" s="90"/>
      <c r="C688" s="90"/>
      <c r="D688" s="90"/>
      <c r="E688" s="90"/>
      <c r="F688" s="90"/>
      <c r="G688" s="90"/>
      <c r="H688" s="90"/>
      <c r="I688" s="90"/>
      <c r="J688" s="90"/>
      <c r="K688" s="90"/>
      <c r="L688" s="90"/>
      <c r="M688" s="91"/>
      <c r="N688" s="91"/>
      <c r="O688" s="91"/>
      <c r="P688" s="91"/>
      <c r="Q688" s="91"/>
      <c r="R688" s="91"/>
      <c r="S688" s="91"/>
      <c r="T688" s="91"/>
      <c r="U688" s="91"/>
      <c r="V688" s="91"/>
      <c r="W688" s="91"/>
      <c r="X688" s="91"/>
      <c r="Y688" s="91"/>
      <c r="Z688" s="91"/>
    </row>
    <row r="689" ht="24.0" customHeight="1">
      <c r="B689" s="90"/>
      <c r="C689" s="90"/>
      <c r="D689" s="90"/>
      <c r="E689" s="90"/>
      <c r="F689" s="90"/>
      <c r="G689" s="90"/>
      <c r="H689" s="90"/>
      <c r="I689" s="90"/>
      <c r="J689" s="90"/>
      <c r="K689" s="90"/>
      <c r="L689" s="90"/>
      <c r="M689" s="91"/>
      <c r="N689" s="91"/>
      <c r="O689" s="91"/>
      <c r="P689" s="91"/>
      <c r="Q689" s="91"/>
      <c r="R689" s="91"/>
      <c r="S689" s="91"/>
      <c r="T689" s="91"/>
      <c r="U689" s="91"/>
      <c r="V689" s="91"/>
      <c r="W689" s="91"/>
      <c r="X689" s="91"/>
      <c r="Y689" s="91"/>
      <c r="Z689" s="91"/>
    </row>
    <row r="690" ht="24.0" customHeight="1">
      <c r="B690" s="90"/>
      <c r="C690" s="90"/>
      <c r="D690" s="90"/>
      <c r="E690" s="90"/>
      <c r="F690" s="90"/>
      <c r="G690" s="90"/>
      <c r="H690" s="90"/>
      <c r="I690" s="90"/>
      <c r="J690" s="90"/>
      <c r="K690" s="90"/>
      <c r="L690" s="90"/>
      <c r="M690" s="91"/>
      <c r="N690" s="91"/>
      <c r="O690" s="91"/>
      <c r="P690" s="91"/>
      <c r="Q690" s="91"/>
      <c r="R690" s="91"/>
      <c r="S690" s="91"/>
      <c r="T690" s="91"/>
      <c r="U690" s="91"/>
      <c r="V690" s="91"/>
      <c r="W690" s="91"/>
      <c r="X690" s="91"/>
      <c r="Y690" s="91"/>
      <c r="Z690" s="91"/>
    </row>
    <row r="691" ht="24.0" customHeight="1">
      <c r="B691" s="90"/>
      <c r="C691" s="90"/>
      <c r="D691" s="90"/>
      <c r="E691" s="90"/>
      <c r="F691" s="90"/>
      <c r="G691" s="90"/>
      <c r="H691" s="90"/>
      <c r="I691" s="90"/>
      <c r="J691" s="90"/>
      <c r="K691" s="90"/>
      <c r="L691" s="90"/>
      <c r="M691" s="91"/>
      <c r="N691" s="91"/>
      <c r="O691" s="91"/>
      <c r="P691" s="91"/>
      <c r="Q691" s="91"/>
      <c r="R691" s="91"/>
      <c r="S691" s="91"/>
      <c r="T691" s="91"/>
      <c r="U691" s="91"/>
      <c r="V691" s="91"/>
      <c r="W691" s="91"/>
      <c r="X691" s="91"/>
      <c r="Y691" s="91"/>
      <c r="Z691" s="91"/>
    </row>
    <row r="692" ht="24.0" customHeight="1">
      <c r="B692" s="90"/>
      <c r="C692" s="90"/>
      <c r="D692" s="90"/>
      <c r="E692" s="90"/>
      <c r="F692" s="90"/>
      <c r="G692" s="90"/>
      <c r="H692" s="90"/>
      <c r="I692" s="90"/>
      <c r="J692" s="90"/>
      <c r="K692" s="90"/>
      <c r="L692" s="90"/>
      <c r="M692" s="91"/>
      <c r="N692" s="91"/>
      <c r="O692" s="91"/>
      <c r="P692" s="91"/>
      <c r="Q692" s="91"/>
      <c r="R692" s="91"/>
      <c r="S692" s="91"/>
      <c r="T692" s="91"/>
      <c r="U692" s="91"/>
      <c r="V692" s="91"/>
      <c r="W692" s="91"/>
      <c r="X692" s="91"/>
      <c r="Y692" s="91"/>
      <c r="Z692" s="91"/>
    </row>
    <row r="693" ht="24.0" customHeight="1">
      <c r="B693" s="90"/>
      <c r="C693" s="90"/>
      <c r="D693" s="90"/>
      <c r="E693" s="90"/>
      <c r="F693" s="90"/>
      <c r="G693" s="90"/>
      <c r="H693" s="90"/>
      <c r="I693" s="90"/>
      <c r="J693" s="90"/>
      <c r="K693" s="90"/>
      <c r="L693" s="90"/>
      <c r="M693" s="91"/>
      <c r="N693" s="91"/>
      <c r="O693" s="91"/>
      <c r="P693" s="91"/>
      <c r="Q693" s="91"/>
      <c r="R693" s="91"/>
      <c r="S693" s="91"/>
      <c r="T693" s="91"/>
      <c r="U693" s="91"/>
      <c r="V693" s="91"/>
      <c r="W693" s="91"/>
      <c r="X693" s="91"/>
      <c r="Y693" s="91"/>
      <c r="Z693" s="91"/>
    </row>
    <row r="694" ht="24.0" customHeight="1">
      <c r="B694" s="90"/>
      <c r="C694" s="90"/>
      <c r="D694" s="90"/>
      <c r="E694" s="90"/>
      <c r="F694" s="90"/>
      <c r="G694" s="90"/>
      <c r="H694" s="90"/>
      <c r="I694" s="90"/>
      <c r="J694" s="90"/>
      <c r="K694" s="90"/>
      <c r="L694" s="90"/>
      <c r="M694" s="91"/>
      <c r="N694" s="91"/>
      <c r="O694" s="91"/>
      <c r="P694" s="91"/>
      <c r="Q694" s="91"/>
      <c r="R694" s="91"/>
      <c r="S694" s="91"/>
      <c r="T694" s="91"/>
      <c r="U694" s="91"/>
      <c r="V694" s="91"/>
      <c r="W694" s="91"/>
      <c r="X694" s="91"/>
      <c r="Y694" s="91"/>
      <c r="Z694" s="91"/>
    </row>
    <row r="695" ht="24.0" customHeight="1">
      <c r="B695" s="90"/>
      <c r="C695" s="90"/>
      <c r="D695" s="90"/>
      <c r="E695" s="90"/>
      <c r="F695" s="90"/>
      <c r="G695" s="90"/>
      <c r="H695" s="90"/>
      <c r="I695" s="90"/>
      <c r="J695" s="90"/>
      <c r="K695" s="90"/>
      <c r="L695" s="90"/>
      <c r="M695" s="91"/>
      <c r="N695" s="91"/>
      <c r="O695" s="91"/>
      <c r="P695" s="91"/>
      <c r="Q695" s="91"/>
      <c r="R695" s="91"/>
      <c r="S695" s="91"/>
      <c r="T695" s="91"/>
      <c r="U695" s="91"/>
      <c r="V695" s="91"/>
      <c r="W695" s="91"/>
      <c r="X695" s="91"/>
      <c r="Y695" s="91"/>
      <c r="Z695" s="91"/>
    </row>
    <row r="696" ht="24.0" customHeight="1">
      <c r="B696" s="90"/>
      <c r="C696" s="90"/>
      <c r="D696" s="90"/>
      <c r="E696" s="90"/>
      <c r="F696" s="90"/>
      <c r="G696" s="90"/>
      <c r="H696" s="90"/>
      <c r="I696" s="90"/>
      <c r="J696" s="90"/>
      <c r="K696" s="90"/>
      <c r="L696" s="90"/>
      <c r="M696" s="91"/>
      <c r="N696" s="91"/>
      <c r="O696" s="91"/>
      <c r="P696" s="91"/>
      <c r="Q696" s="91"/>
      <c r="R696" s="91"/>
      <c r="S696" s="91"/>
      <c r="T696" s="91"/>
      <c r="U696" s="91"/>
      <c r="V696" s="91"/>
      <c r="W696" s="91"/>
      <c r="X696" s="91"/>
      <c r="Y696" s="91"/>
      <c r="Z696" s="91"/>
    </row>
    <row r="697" ht="24.0" customHeight="1">
      <c r="B697" s="90"/>
      <c r="C697" s="90"/>
      <c r="D697" s="90"/>
      <c r="E697" s="90"/>
      <c r="F697" s="90"/>
      <c r="G697" s="90"/>
      <c r="H697" s="90"/>
      <c r="I697" s="90"/>
      <c r="J697" s="90"/>
      <c r="K697" s="90"/>
      <c r="L697" s="90"/>
      <c r="M697" s="91"/>
      <c r="N697" s="91"/>
      <c r="O697" s="91"/>
      <c r="P697" s="91"/>
      <c r="Q697" s="91"/>
      <c r="R697" s="91"/>
      <c r="S697" s="91"/>
      <c r="T697" s="91"/>
      <c r="U697" s="91"/>
      <c r="V697" s="91"/>
      <c r="W697" s="91"/>
      <c r="X697" s="91"/>
      <c r="Y697" s="91"/>
      <c r="Z697" s="91"/>
    </row>
    <row r="698" ht="24.0" customHeight="1">
      <c r="B698" s="90"/>
      <c r="C698" s="90"/>
      <c r="D698" s="90"/>
      <c r="E698" s="90"/>
      <c r="F698" s="90"/>
      <c r="G698" s="90"/>
      <c r="H698" s="90"/>
      <c r="I698" s="90"/>
      <c r="J698" s="90"/>
      <c r="K698" s="90"/>
      <c r="L698" s="90"/>
      <c r="M698" s="91"/>
      <c r="N698" s="91"/>
      <c r="O698" s="91"/>
      <c r="P698" s="91"/>
      <c r="Q698" s="91"/>
      <c r="R698" s="91"/>
      <c r="S698" s="91"/>
      <c r="T698" s="91"/>
      <c r="U698" s="91"/>
      <c r="V698" s="91"/>
      <c r="W698" s="91"/>
      <c r="X698" s="91"/>
      <c r="Y698" s="91"/>
      <c r="Z698" s="91"/>
    </row>
    <row r="699" ht="24.0" customHeight="1">
      <c r="B699" s="90"/>
      <c r="C699" s="90"/>
      <c r="D699" s="90"/>
      <c r="E699" s="90"/>
      <c r="F699" s="90"/>
      <c r="G699" s="90"/>
      <c r="H699" s="90"/>
      <c r="I699" s="90"/>
      <c r="J699" s="90"/>
      <c r="K699" s="90"/>
      <c r="L699" s="90"/>
      <c r="M699" s="91"/>
      <c r="N699" s="91"/>
      <c r="O699" s="91"/>
      <c r="P699" s="91"/>
      <c r="Q699" s="91"/>
      <c r="R699" s="91"/>
      <c r="S699" s="91"/>
      <c r="T699" s="91"/>
      <c r="U699" s="91"/>
      <c r="V699" s="91"/>
      <c r="W699" s="91"/>
      <c r="X699" s="91"/>
      <c r="Y699" s="91"/>
      <c r="Z699" s="91"/>
    </row>
    <row r="700" ht="24.0" customHeight="1">
      <c r="B700" s="90"/>
      <c r="C700" s="90"/>
      <c r="D700" s="90"/>
      <c r="E700" s="90"/>
      <c r="F700" s="90"/>
      <c r="G700" s="90"/>
      <c r="H700" s="90"/>
      <c r="I700" s="90"/>
      <c r="J700" s="90"/>
      <c r="K700" s="90"/>
      <c r="L700" s="90"/>
      <c r="M700" s="91"/>
      <c r="N700" s="91"/>
      <c r="O700" s="91"/>
      <c r="P700" s="91"/>
      <c r="Q700" s="91"/>
      <c r="R700" s="91"/>
      <c r="S700" s="91"/>
      <c r="T700" s="91"/>
      <c r="U700" s="91"/>
      <c r="V700" s="91"/>
      <c r="W700" s="91"/>
      <c r="X700" s="91"/>
      <c r="Y700" s="91"/>
      <c r="Z700" s="91"/>
    </row>
    <row r="701" ht="24.0" customHeight="1">
      <c r="B701" s="90"/>
      <c r="C701" s="90"/>
      <c r="D701" s="90"/>
      <c r="E701" s="90"/>
      <c r="F701" s="90"/>
      <c r="G701" s="90"/>
      <c r="H701" s="90"/>
      <c r="I701" s="90"/>
      <c r="J701" s="90"/>
      <c r="K701" s="90"/>
      <c r="L701" s="90"/>
      <c r="M701" s="91"/>
      <c r="N701" s="91"/>
      <c r="O701" s="91"/>
      <c r="P701" s="91"/>
      <c r="Q701" s="91"/>
      <c r="R701" s="91"/>
      <c r="S701" s="91"/>
      <c r="T701" s="91"/>
      <c r="U701" s="91"/>
      <c r="V701" s="91"/>
      <c r="W701" s="91"/>
      <c r="X701" s="91"/>
      <c r="Y701" s="91"/>
      <c r="Z701" s="91"/>
    </row>
    <row r="702" ht="24.0" customHeight="1">
      <c r="B702" s="90"/>
      <c r="C702" s="90"/>
      <c r="D702" s="90"/>
      <c r="E702" s="90"/>
      <c r="F702" s="90"/>
      <c r="G702" s="90"/>
      <c r="H702" s="90"/>
      <c r="I702" s="90"/>
      <c r="J702" s="90"/>
      <c r="K702" s="90"/>
      <c r="L702" s="90"/>
      <c r="M702" s="91"/>
      <c r="N702" s="91"/>
      <c r="O702" s="91"/>
      <c r="P702" s="91"/>
      <c r="Q702" s="91"/>
      <c r="R702" s="91"/>
      <c r="S702" s="91"/>
      <c r="T702" s="91"/>
      <c r="U702" s="91"/>
      <c r="V702" s="91"/>
      <c r="W702" s="91"/>
      <c r="X702" s="91"/>
      <c r="Y702" s="91"/>
      <c r="Z702" s="91"/>
    </row>
    <row r="703" ht="24.0" customHeight="1">
      <c r="B703" s="90"/>
      <c r="C703" s="90"/>
      <c r="D703" s="90"/>
      <c r="E703" s="90"/>
      <c r="F703" s="90"/>
      <c r="G703" s="90"/>
      <c r="H703" s="90"/>
      <c r="I703" s="90"/>
      <c r="J703" s="90"/>
      <c r="K703" s="90"/>
      <c r="L703" s="90"/>
      <c r="M703" s="91"/>
      <c r="N703" s="91"/>
      <c r="O703" s="91"/>
      <c r="P703" s="91"/>
      <c r="Q703" s="91"/>
      <c r="R703" s="91"/>
      <c r="S703" s="91"/>
      <c r="T703" s="91"/>
      <c r="U703" s="91"/>
      <c r="V703" s="91"/>
      <c r="W703" s="91"/>
      <c r="X703" s="91"/>
      <c r="Y703" s="91"/>
      <c r="Z703" s="91"/>
    </row>
    <row r="704" ht="24.0" customHeight="1">
      <c r="B704" s="90"/>
      <c r="C704" s="90"/>
      <c r="D704" s="90"/>
      <c r="E704" s="90"/>
      <c r="F704" s="90"/>
      <c r="G704" s="90"/>
      <c r="H704" s="90"/>
      <c r="I704" s="90"/>
      <c r="J704" s="90"/>
      <c r="K704" s="90"/>
      <c r="L704" s="90"/>
      <c r="M704" s="91"/>
      <c r="N704" s="91"/>
      <c r="O704" s="91"/>
      <c r="P704" s="91"/>
      <c r="Q704" s="91"/>
      <c r="R704" s="91"/>
      <c r="S704" s="91"/>
      <c r="T704" s="91"/>
      <c r="U704" s="91"/>
      <c r="V704" s="91"/>
      <c r="W704" s="91"/>
      <c r="X704" s="91"/>
      <c r="Y704" s="91"/>
      <c r="Z704" s="91"/>
    </row>
    <row r="705" ht="24.0" customHeight="1">
      <c r="B705" s="90"/>
      <c r="C705" s="90"/>
      <c r="D705" s="90"/>
      <c r="E705" s="90"/>
      <c r="F705" s="90"/>
      <c r="G705" s="90"/>
      <c r="H705" s="90"/>
      <c r="I705" s="90"/>
      <c r="J705" s="90"/>
      <c r="K705" s="90"/>
      <c r="L705" s="90"/>
      <c r="M705" s="91"/>
      <c r="N705" s="91"/>
      <c r="O705" s="91"/>
      <c r="P705" s="91"/>
      <c r="Q705" s="91"/>
      <c r="R705" s="91"/>
      <c r="S705" s="91"/>
      <c r="T705" s="91"/>
      <c r="U705" s="91"/>
      <c r="V705" s="91"/>
      <c r="W705" s="91"/>
      <c r="X705" s="91"/>
      <c r="Y705" s="91"/>
      <c r="Z705" s="91"/>
    </row>
    <row r="706" ht="24.0" customHeight="1">
      <c r="B706" s="90"/>
      <c r="C706" s="90"/>
      <c r="D706" s="90"/>
      <c r="E706" s="90"/>
      <c r="F706" s="90"/>
      <c r="G706" s="90"/>
      <c r="H706" s="90"/>
      <c r="I706" s="90"/>
      <c r="J706" s="90"/>
      <c r="K706" s="90"/>
      <c r="L706" s="90"/>
      <c r="M706" s="91"/>
      <c r="N706" s="91"/>
      <c r="O706" s="91"/>
      <c r="P706" s="91"/>
      <c r="Q706" s="91"/>
      <c r="R706" s="91"/>
      <c r="S706" s="91"/>
      <c r="T706" s="91"/>
      <c r="U706" s="91"/>
      <c r="V706" s="91"/>
      <c r="W706" s="91"/>
      <c r="X706" s="91"/>
      <c r="Y706" s="91"/>
      <c r="Z706" s="91"/>
    </row>
    <row r="707" ht="24.0" customHeight="1">
      <c r="B707" s="90"/>
      <c r="C707" s="90"/>
      <c r="D707" s="90"/>
      <c r="E707" s="90"/>
      <c r="F707" s="90"/>
      <c r="G707" s="90"/>
      <c r="H707" s="90"/>
      <c r="I707" s="90"/>
      <c r="J707" s="90"/>
      <c r="K707" s="90"/>
      <c r="L707" s="90"/>
      <c r="M707" s="91"/>
      <c r="N707" s="91"/>
      <c r="O707" s="91"/>
      <c r="P707" s="91"/>
      <c r="Q707" s="91"/>
      <c r="R707" s="91"/>
      <c r="S707" s="91"/>
      <c r="T707" s="91"/>
      <c r="U707" s="91"/>
      <c r="V707" s="91"/>
      <c r="W707" s="91"/>
      <c r="X707" s="91"/>
      <c r="Y707" s="91"/>
      <c r="Z707" s="91"/>
    </row>
    <row r="708" ht="24.0" customHeight="1">
      <c r="B708" s="90"/>
      <c r="C708" s="90"/>
      <c r="D708" s="90"/>
      <c r="E708" s="90"/>
      <c r="F708" s="90"/>
      <c r="G708" s="90"/>
      <c r="H708" s="90"/>
      <c r="I708" s="90"/>
      <c r="J708" s="90"/>
      <c r="K708" s="90"/>
      <c r="L708" s="90"/>
      <c r="M708" s="91"/>
      <c r="N708" s="91"/>
      <c r="O708" s="91"/>
      <c r="P708" s="91"/>
      <c r="Q708" s="91"/>
      <c r="R708" s="91"/>
      <c r="S708" s="91"/>
      <c r="T708" s="91"/>
      <c r="U708" s="91"/>
      <c r="V708" s="91"/>
      <c r="W708" s="91"/>
      <c r="X708" s="91"/>
      <c r="Y708" s="91"/>
      <c r="Z708" s="91"/>
    </row>
    <row r="709" ht="24.0" customHeight="1">
      <c r="B709" s="90"/>
      <c r="C709" s="90"/>
      <c r="D709" s="90"/>
      <c r="E709" s="90"/>
      <c r="F709" s="90"/>
      <c r="G709" s="90"/>
      <c r="H709" s="90"/>
      <c r="I709" s="90"/>
      <c r="J709" s="90"/>
      <c r="K709" s="90"/>
      <c r="L709" s="90"/>
      <c r="M709" s="91"/>
      <c r="N709" s="91"/>
      <c r="O709" s="91"/>
      <c r="P709" s="91"/>
      <c r="Q709" s="91"/>
      <c r="R709" s="91"/>
      <c r="S709" s="91"/>
      <c r="T709" s="91"/>
      <c r="U709" s="91"/>
      <c r="V709" s="91"/>
      <c r="W709" s="91"/>
      <c r="X709" s="91"/>
      <c r="Y709" s="91"/>
      <c r="Z709" s="91"/>
    </row>
    <row r="710" ht="24.0" customHeight="1">
      <c r="B710" s="90"/>
      <c r="C710" s="90"/>
      <c r="D710" s="90"/>
      <c r="E710" s="90"/>
      <c r="F710" s="90"/>
      <c r="G710" s="90"/>
      <c r="H710" s="90"/>
      <c r="I710" s="90"/>
      <c r="J710" s="90"/>
      <c r="K710" s="90"/>
      <c r="L710" s="90"/>
      <c r="M710" s="91"/>
      <c r="N710" s="91"/>
      <c r="O710" s="91"/>
      <c r="P710" s="91"/>
      <c r="Q710" s="91"/>
      <c r="R710" s="91"/>
      <c r="S710" s="91"/>
      <c r="T710" s="91"/>
      <c r="U710" s="91"/>
      <c r="V710" s="91"/>
      <c r="W710" s="91"/>
      <c r="X710" s="91"/>
      <c r="Y710" s="91"/>
      <c r="Z710" s="91"/>
    </row>
    <row r="711" ht="24.0" customHeight="1">
      <c r="B711" s="90"/>
      <c r="C711" s="90"/>
      <c r="D711" s="90"/>
      <c r="E711" s="90"/>
      <c r="F711" s="90"/>
      <c r="G711" s="90"/>
      <c r="H711" s="90"/>
      <c r="I711" s="90"/>
      <c r="J711" s="90"/>
      <c r="K711" s="90"/>
      <c r="L711" s="90"/>
      <c r="M711" s="91"/>
      <c r="N711" s="91"/>
      <c r="O711" s="91"/>
      <c r="P711" s="91"/>
      <c r="Q711" s="91"/>
      <c r="R711" s="91"/>
      <c r="S711" s="91"/>
      <c r="T711" s="91"/>
      <c r="U711" s="91"/>
      <c r="V711" s="91"/>
      <c r="W711" s="91"/>
      <c r="X711" s="91"/>
      <c r="Y711" s="91"/>
      <c r="Z711" s="91"/>
    </row>
    <row r="712" ht="24.0" customHeight="1">
      <c r="B712" s="90"/>
      <c r="C712" s="90"/>
      <c r="D712" s="90"/>
      <c r="E712" s="90"/>
      <c r="F712" s="90"/>
      <c r="G712" s="90"/>
      <c r="H712" s="90"/>
      <c r="I712" s="90"/>
      <c r="J712" s="90"/>
      <c r="K712" s="90"/>
      <c r="L712" s="90"/>
      <c r="M712" s="91"/>
      <c r="N712" s="91"/>
      <c r="O712" s="91"/>
      <c r="P712" s="91"/>
      <c r="Q712" s="91"/>
      <c r="R712" s="91"/>
      <c r="S712" s="91"/>
      <c r="T712" s="91"/>
      <c r="U712" s="91"/>
      <c r="V712" s="91"/>
      <c r="W712" s="91"/>
      <c r="X712" s="91"/>
      <c r="Y712" s="91"/>
      <c r="Z712" s="91"/>
    </row>
    <row r="713" ht="24.0" customHeight="1">
      <c r="B713" s="90"/>
      <c r="C713" s="90"/>
      <c r="D713" s="90"/>
      <c r="E713" s="90"/>
      <c r="F713" s="90"/>
      <c r="G713" s="90"/>
      <c r="H713" s="90"/>
      <c r="I713" s="90"/>
      <c r="J713" s="90"/>
      <c r="K713" s="90"/>
      <c r="L713" s="90"/>
      <c r="M713" s="91"/>
      <c r="N713" s="91"/>
      <c r="O713" s="91"/>
      <c r="P713" s="91"/>
      <c r="Q713" s="91"/>
      <c r="R713" s="91"/>
      <c r="S713" s="91"/>
      <c r="T713" s="91"/>
      <c r="U713" s="91"/>
      <c r="V713" s="91"/>
      <c r="W713" s="91"/>
      <c r="X713" s="91"/>
      <c r="Y713" s="91"/>
      <c r="Z713" s="91"/>
    </row>
    <row r="714" ht="24.0" customHeight="1">
      <c r="B714" s="90"/>
      <c r="C714" s="90"/>
      <c r="D714" s="90"/>
      <c r="E714" s="90"/>
      <c r="F714" s="90"/>
      <c r="G714" s="90"/>
      <c r="H714" s="90"/>
      <c r="I714" s="90"/>
      <c r="J714" s="90"/>
      <c r="K714" s="90"/>
      <c r="L714" s="90"/>
      <c r="M714" s="91"/>
      <c r="N714" s="91"/>
      <c r="O714" s="91"/>
      <c r="P714" s="91"/>
      <c r="Q714" s="91"/>
      <c r="R714" s="91"/>
      <c r="S714" s="91"/>
      <c r="T714" s="91"/>
      <c r="U714" s="91"/>
      <c r="V714" s="91"/>
      <c r="W714" s="91"/>
      <c r="X714" s="91"/>
      <c r="Y714" s="91"/>
      <c r="Z714" s="91"/>
    </row>
    <row r="715" ht="24.0" customHeight="1">
      <c r="B715" s="90"/>
      <c r="C715" s="90"/>
      <c r="D715" s="90"/>
      <c r="E715" s="90"/>
      <c r="F715" s="90"/>
      <c r="G715" s="90"/>
      <c r="H715" s="90"/>
      <c r="I715" s="90"/>
      <c r="J715" s="90"/>
      <c r="K715" s="90"/>
      <c r="L715" s="90"/>
      <c r="M715" s="91"/>
      <c r="N715" s="91"/>
      <c r="O715" s="91"/>
      <c r="P715" s="91"/>
      <c r="Q715" s="91"/>
      <c r="R715" s="91"/>
      <c r="S715" s="91"/>
      <c r="T715" s="91"/>
      <c r="U715" s="91"/>
      <c r="V715" s="91"/>
      <c r="W715" s="91"/>
      <c r="X715" s="91"/>
      <c r="Y715" s="91"/>
      <c r="Z715" s="91"/>
    </row>
    <row r="716" ht="24.0" customHeight="1">
      <c r="B716" s="90"/>
      <c r="C716" s="90"/>
      <c r="D716" s="90"/>
      <c r="E716" s="90"/>
      <c r="F716" s="90"/>
      <c r="G716" s="90"/>
      <c r="H716" s="90"/>
      <c r="I716" s="90"/>
      <c r="J716" s="90"/>
      <c r="K716" s="90"/>
      <c r="L716" s="90"/>
      <c r="M716" s="91"/>
      <c r="N716" s="91"/>
      <c r="O716" s="91"/>
      <c r="P716" s="91"/>
      <c r="Q716" s="91"/>
      <c r="R716" s="91"/>
      <c r="S716" s="91"/>
      <c r="T716" s="91"/>
      <c r="U716" s="91"/>
      <c r="V716" s="91"/>
      <c r="W716" s="91"/>
      <c r="X716" s="91"/>
      <c r="Y716" s="91"/>
      <c r="Z716" s="91"/>
    </row>
    <row r="717" ht="24.0" customHeight="1">
      <c r="B717" s="90"/>
      <c r="C717" s="90"/>
      <c r="D717" s="90"/>
      <c r="E717" s="90"/>
      <c r="F717" s="90"/>
      <c r="G717" s="90"/>
      <c r="H717" s="90"/>
      <c r="I717" s="90"/>
      <c r="J717" s="90"/>
      <c r="K717" s="90"/>
      <c r="L717" s="90"/>
      <c r="M717" s="91"/>
      <c r="N717" s="91"/>
      <c r="O717" s="91"/>
      <c r="P717" s="91"/>
      <c r="Q717" s="91"/>
      <c r="R717" s="91"/>
      <c r="S717" s="91"/>
      <c r="T717" s="91"/>
      <c r="U717" s="91"/>
      <c r="V717" s="91"/>
      <c r="W717" s="91"/>
      <c r="X717" s="91"/>
      <c r="Y717" s="91"/>
      <c r="Z717" s="91"/>
    </row>
    <row r="718" ht="24.0" customHeight="1">
      <c r="B718" s="90"/>
      <c r="C718" s="90"/>
      <c r="D718" s="90"/>
      <c r="E718" s="90"/>
      <c r="F718" s="90"/>
      <c r="G718" s="90"/>
      <c r="H718" s="90"/>
      <c r="I718" s="90"/>
      <c r="J718" s="90"/>
      <c r="K718" s="90"/>
      <c r="L718" s="90"/>
      <c r="M718" s="91"/>
      <c r="N718" s="91"/>
      <c r="O718" s="91"/>
      <c r="P718" s="91"/>
      <c r="Q718" s="91"/>
      <c r="R718" s="91"/>
      <c r="S718" s="91"/>
      <c r="T718" s="91"/>
      <c r="U718" s="91"/>
      <c r="V718" s="91"/>
      <c r="W718" s="91"/>
      <c r="X718" s="91"/>
      <c r="Y718" s="91"/>
      <c r="Z718" s="91"/>
    </row>
    <row r="719" ht="24.0" customHeight="1">
      <c r="B719" s="90"/>
      <c r="C719" s="90"/>
      <c r="D719" s="90"/>
      <c r="E719" s="90"/>
      <c r="F719" s="90"/>
      <c r="G719" s="90"/>
      <c r="H719" s="90"/>
      <c r="I719" s="90"/>
      <c r="J719" s="90"/>
      <c r="K719" s="90"/>
      <c r="L719" s="90"/>
      <c r="M719" s="91"/>
      <c r="N719" s="91"/>
      <c r="O719" s="91"/>
      <c r="P719" s="91"/>
      <c r="Q719" s="91"/>
      <c r="R719" s="91"/>
      <c r="S719" s="91"/>
      <c r="T719" s="91"/>
      <c r="U719" s="91"/>
      <c r="V719" s="91"/>
      <c r="W719" s="91"/>
      <c r="X719" s="91"/>
      <c r="Y719" s="91"/>
      <c r="Z719" s="91"/>
    </row>
    <row r="720" ht="24.0" customHeight="1">
      <c r="B720" s="90"/>
      <c r="C720" s="90"/>
      <c r="D720" s="90"/>
      <c r="E720" s="90"/>
      <c r="F720" s="90"/>
      <c r="G720" s="90"/>
      <c r="H720" s="90"/>
      <c r="I720" s="90"/>
      <c r="J720" s="90"/>
      <c r="K720" s="90"/>
      <c r="L720" s="90"/>
      <c r="M720" s="91"/>
      <c r="N720" s="91"/>
      <c r="O720" s="91"/>
      <c r="P720" s="91"/>
      <c r="Q720" s="91"/>
      <c r="R720" s="91"/>
      <c r="S720" s="91"/>
      <c r="T720" s="91"/>
      <c r="U720" s="91"/>
      <c r="V720" s="91"/>
      <c r="W720" s="91"/>
      <c r="X720" s="91"/>
      <c r="Y720" s="91"/>
      <c r="Z720" s="91"/>
    </row>
    <row r="721" ht="24.0" customHeight="1">
      <c r="B721" s="90"/>
      <c r="C721" s="90"/>
      <c r="D721" s="90"/>
      <c r="E721" s="90"/>
      <c r="F721" s="90"/>
      <c r="G721" s="90"/>
      <c r="H721" s="90"/>
      <c r="I721" s="90"/>
      <c r="J721" s="90"/>
      <c r="K721" s="90"/>
      <c r="L721" s="90"/>
      <c r="M721" s="91"/>
      <c r="N721" s="91"/>
      <c r="O721" s="91"/>
      <c r="P721" s="91"/>
      <c r="Q721" s="91"/>
      <c r="R721" s="91"/>
      <c r="S721" s="91"/>
      <c r="T721" s="91"/>
      <c r="U721" s="91"/>
      <c r="V721" s="91"/>
      <c r="W721" s="91"/>
      <c r="X721" s="91"/>
      <c r="Y721" s="91"/>
      <c r="Z721" s="91"/>
    </row>
    <row r="722" ht="24.0" customHeight="1">
      <c r="B722" s="90"/>
      <c r="C722" s="90"/>
      <c r="D722" s="90"/>
      <c r="E722" s="90"/>
      <c r="F722" s="90"/>
      <c r="G722" s="90"/>
      <c r="H722" s="90"/>
      <c r="I722" s="90"/>
      <c r="J722" s="90"/>
      <c r="K722" s="90"/>
      <c r="L722" s="90"/>
      <c r="M722" s="91"/>
      <c r="N722" s="91"/>
      <c r="O722" s="91"/>
      <c r="P722" s="91"/>
      <c r="Q722" s="91"/>
      <c r="R722" s="91"/>
      <c r="S722" s="91"/>
      <c r="T722" s="91"/>
      <c r="U722" s="91"/>
      <c r="V722" s="91"/>
      <c r="W722" s="91"/>
      <c r="X722" s="91"/>
      <c r="Y722" s="91"/>
      <c r="Z722" s="91"/>
    </row>
    <row r="723" ht="24.0" customHeight="1">
      <c r="B723" s="90"/>
      <c r="C723" s="90"/>
      <c r="D723" s="90"/>
      <c r="E723" s="90"/>
      <c r="F723" s="90"/>
      <c r="G723" s="90"/>
      <c r="H723" s="90"/>
      <c r="I723" s="90"/>
      <c r="J723" s="90"/>
      <c r="K723" s="90"/>
      <c r="L723" s="90"/>
      <c r="M723" s="91"/>
      <c r="N723" s="91"/>
      <c r="O723" s="91"/>
      <c r="P723" s="91"/>
      <c r="Q723" s="91"/>
      <c r="R723" s="91"/>
      <c r="S723" s="91"/>
      <c r="T723" s="91"/>
      <c r="U723" s="91"/>
      <c r="V723" s="91"/>
      <c r="W723" s="91"/>
      <c r="X723" s="91"/>
      <c r="Y723" s="91"/>
      <c r="Z723" s="91"/>
    </row>
    <row r="724" ht="24.0" customHeight="1">
      <c r="B724" s="90"/>
      <c r="C724" s="90"/>
      <c r="D724" s="90"/>
      <c r="E724" s="90"/>
      <c r="F724" s="90"/>
      <c r="G724" s="90"/>
      <c r="H724" s="90"/>
      <c r="I724" s="90"/>
      <c r="J724" s="90"/>
      <c r="K724" s="90"/>
      <c r="L724" s="90"/>
      <c r="M724" s="91"/>
      <c r="N724" s="91"/>
      <c r="O724" s="91"/>
      <c r="P724" s="91"/>
      <c r="Q724" s="91"/>
      <c r="R724" s="91"/>
      <c r="S724" s="91"/>
      <c r="T724" s="91"/>
      <c r="U724" s="91"/>
      <c r="V724" s="91"/>
      <c r="W724" s="91"/>
      <c r="X724" s="91"/>
      <c r="Y724" s="91"/>
      <c r="Z724" s="91"/>
    </row>
    <row r="725" ht="24.0" customHeight="1">
      <c r="B725" s="90"/>
      <c r="C725" s="90"/>
      <c r="D725" s="90"/>
      <c r="E725" s="90"/>
      <c r="F725" s="90"/>
      <c r="G725" s="90"/>
      <c r="H725" s="90"/>
      <c r="I725" s="90"/>
      <c r="J725" s="90"/>
      <c r="K725" s="90"/>
      <c r="L725" s="90"/>
      <c r="M725" s="91"/>
      <c r="N725" s="91"/>
      <c r="O725" s="91"/>
      <c r="P725" s="91"/>
      <c r="Q725" s="91"/>
      <c r="R725" s="91"/>
      <c r="S725" s="91"/>
      <c r="T725" s="91"/>
      <c r="U725" s="91"/>
      <c r="V725" s="91"/>
      <c r="W725" s="91"/>
      <c r="X725" s="91"/>
      <c r="Y725" s="91"/>
      <c r="Z725" s="91"/>
    </row>
    <row r="726" ht="24.0" customHeight="1">
      <c r="B726" s="90"/>
      <c r="C726" s="90"/>
      <c r="D726" s="90"/>
      <c r="E726" s="90"/>
      <c r="F726" s="90"/>
      <c r="G726" s="90"/>
      <c r="H726" s="90"/>
      <c r="I726" s="90"/>
      <c r="J726" s="90"/>
      <c r="K726" s="90"/>
      <c r="L726" s="90"/>
      <c r="M726" s="91"/>
      <c r="N726" s="91"/>
      <c r="O726" s="91"/>
      <c r="P726" s="91"/>
      <c r="Q726" s="91"/>
      <c r="R726" s="91"/>
      <c r="S726" s="91"/>
      <c r="T726" s="91"/>
      <c r="U726" s="91"/>
      <c r="V726" s="91"/>
      <c r="W726" s="91"/>
      <c r="X726" s="91"/>
      <c r="Y726" s="91"/>
      <c r="Z726" s="91"/>
    </row>
    <row r="727" ht="24.0" customHeight="1">
      <c r="B727" s="90"/>
      <c r="C727" s="90"/>
      <c r="D727" s="90"/>
      <c r="E727" s="90"/>
      <c r="F727" s="90"/>
      <c r="G727" s="90"/>
      <c r="H727" s="90"/>
      <c r="I727" s="90"/>
      <c r="J727" s="90"/>
      <c r="K727" s="90"/>
      <c r="L727" s="90"/>
      <c r="M727" s="91"/>
      <c r="N727" s="91"/>
      <c r="O727" s="91"/>
      <c r="P727" s="91"/>
      <c r="Q727" s="91"/>
      <c r="R727" s="91"/>
      <c r="S727" s="91"/>
      <c r="T727" s="91"/>
      <c r="U727" s="91"/>
      <c r="V727" s="91"/>
      <c r="W727" s="91"/>
      <c r="X727" s="91"/>
      <c r="Y727" s="91"/>
      <c r="Z727" s="91"/>
    </row>
    <row r="728" ht="24.0" customHeight="1">
      <c r="B728" s="90"/>
      <c r="C728" s="90"/>
      <c r="D728" s="90"/>
      <c r="E728" s="90"/>
      <c r="F728" s="90"/>
      <c r="G728" s="90"/>
      <c r="H728" s="90"/>
      <c r="I728" s="90"/>
      <c r="J728" s="90"/>
      <c r="K728" s="90"/>
      <c r="L728" s="90"/>
      <c r="M728" s="91"/>
      <c r="N728" s="91"/>
      <c r="O728" s="91"/>
      <c r="P728" s="91"/>
      <c r="Q728" s="91"/>
      <c r="R728" s="91"/>
      <c r="S728" s="91"/>
      <c r="T728" s="91"/>
      <c r="U728" s="91"/>
      <c r="V728" s="91"/>
      <c r="W728" s="91"/>
      <c r="X728" s="91"/>
      <c r="Y728" s="91"/>
      <c r="Z728" s="91"/>
    </row>
    <row r="729" ht="24.0" customHeight="1">
      <c r="B729" s="90"/>
      <c r="C729" s="90"/>
      <c r="D729" s="90"/>
      <c r="E729" s="90"/>
      <c r="F729" s="90"/>
      <c r="G729" s="90"/>
      <c r="H729" s="90"/>
      <c r="I729" s="90"/>
      <c r="J729" s="90"/>
      <c r="K729" s="90"/>
      <c r="L729" s="90"/>
      <c r="M729" s="91"/>
      <c r="N729" s="91"/>
      <c r="O729" s="91"/>
      <c r="P729" s="91"/>
      <c r="Q729" s="91"/>
      <c r="R729" s="91"/>
      <c r="S729" s="91"/>
      <c r="T729" s="91"/>
      <c r="U729" s="91"/>
      <c r="V729" s="91"/>
      <c r="W729" s="91"/>
      <c r="X729" s="91"/>
      <c r="Y729" s="91"/>
      <c r="Z729" s="91"/>
    </row>
    <row r="730" ht="24.0" customHeight="1">
      <c r="B730" s="90"/>
      <c r="C730" s="90"/>
      <c r="D730" s="90"/>
      <c r="E730" s="90"/>
      <c r="F730" s="90"/>
      <c r="G730" s="90"/>
      <c r="H730" s="90"/>
      <c r="I730" s="90"/>
      <c r="J730" s="90"/>
      <c r="K730" s="90"/>
      <c r="L730" s="90"/>
      <c r="M730" s="91"/>
      <c r="N730" s="91"/>
      <c r="O730" s="91"/>
      <c r="P730" s="91"/>
      <c r="Q730" s="91"/>
      <c r="R730" s="91"/>
      <c r="S730" s="91"/>
      <c r="T730" s="91"/>
      <c r="U730" s="91"/>
      <c r="V730" s="91"/>
      <c r="W730" s="91"/>
      <c r="X730" s="91"/>
      <c r="Y730" s="91"/>
      <c r="Z730" s="91"/>
    </row>
    <row r="731" ht="24.0" customHeight="1">
      <c r="B731" s="90"/>
      <c r="C731" s="90"/>
      <c r="D731" s="90"/>
      <c r="E731" s="90"/>
      <c r="F731" s="90"/>
      <c r="G731" s="90"/>
      <c r="H731" s="90"/>
      <c r="I731" s="90"/>
      <c r="J731" s="90"/>
      <c r="K731" s="90"/>
      <c r="L731" s="90"/>
      <c r="M731" s="91"/>
      <c r="N731" s="91"/>
      <c r="O731" s="91"/>
      <c r="P731" s="91"/>
      <c r="Q731" s="91"/>
      <c r="R731" s="91"/>
      <c r="S731" s="91"/>
      <c r="T731" s="91"/>
      <c r="U731" s="91"/>
      <c r="V731" s="91"/>
      <c r="W731" s="91"/>
      <c r="X731" s="91"/>
      <c r="Y731" s="91"/>
      <c r="Z731" s="91"/>
    </row>
    <row r="732" ht="24.0" customHeight="1">
      <c r="B732" s="90"/>
      <c r="C732" s="90"/>
      <c r="D732" s="90"/>
      <c r="E732" s="90"/>
      <c r="F732" s="90"/>
      <c r="G732" s="90"/>
      <c r="H732" s="90"/>
      <c r="I732" s="90"/>
      <c r="J732" s="90"/>
      <c r="K732" s="90"/>
      <c r="L732" s="90"/>
      <c r="M732" s="91"/>
      <c r="N732" s="91"/>
      <c r="O732" s="91"/>
      <c r="P732" s="91"/>
      <c r="Q732" s="91"/>
      <c r="R732" s="91"/>
      <c r="S732" s="91"/>
      <c r="T732" s="91"/>
      <c r="U732" s="91"/>
      <c r="V732" s="91"/>
      <c r="W732" s="91"/>
      <c r="X732" s="91"/>
      <c r="Y732" s="91"/>
      <c r="Z732" s="91"/>
    </row>
    <row r="733" ht="24.0" customHeight="1">
      <c r="B733" s="90"/>
      <c r="C733" s="90"/>
      <c r="D733" s="90"/>
      <c r="E733" s="90"/>
      <c r="F733" s="90"/>
      <c r="G733" s="90"/>
      <c r="H733" s="90"/>
      <c r="I733" s="90"/>
      <c r="J733" s="90"/>
      <c r="K733" s="90"/>
      <c r="L733" s="90"/>
      <c r="M733" s="91"/>
      <c r="N733" s="91"/>
      <c r="O733" s="91"/>
      <c r="P733" s="91"/>
      <c r="Q733" s="91"/>
      <c r="R733" s="91"/>
      <c r="S733" s="91"/>
      <c r="T733" s="91"/>
      <c r="U733" s="91"/>
      <c r="V733" s="91"/>
      <c r="W733" s="91"/>
      <c r="X733" s="91"/>
      <c r="Y733" s="91"/>
      <c r="Z733" s="91"/>
    </row>
    <row r="734" ht="24.0" customHeight="1">
      <c r="B734" s="90"/>
      <c r="C734" s="90"/>
      <c r="D734" s="90"/>
      <c r="E734" s="90"/>
      <c r="F734" s="90"/>
      <c r="G734" s="90"/>
      <c r="H734" s="90"/>
      <c r="I734" s="90"/>
      <c r="J734" s="90"/>
      <c r="K734" s="90"/>
      <c r="L734" s="90"/>
      <c r="M734" s="91"/>
      <c r="N734" s="91"/>
      <c r="O734" s="91"/>
      <c r="P734" s="91"/>
      <c r="Q734" s="91"/>
      <c r="R734" s="91"/>
      <c r="S734" s="91"/>
      <c r="T734" s="91"/>
      <c r="U734" s="91"/>
      <c r="V734" s="91"/>
      <c r="W734" s="91"/>
      <c r="X734" s="91"/>
      <c r="Y734" s="91"/>
      <c r="Z734" s="91"/>
    </row>
    <row r="735" ht="24.0" customHeight="1">
      <c r="B735" s="90"/>
      <c r="C735" s="90"/>
      <c r="D735" s="90"/>
      <c r="E735" s="90"/>
      <c r="F735" s="90"/>
      <c r="G735" s="90"/>
      <c r="H735" s="90"/>
      <c r="I735" s="90"/>
      <c r="J735" s="90"/>
      <c r="K735" s="90"/>
      <c r="L735" s="90"/>
      <c r="M735" s="91"/>
      <c r="N735" s="91"/>
      <c r="O735" s="91"/>
      <c r="P735" s="91"/>
      <c r="Q735" s="91"/>
      <c r="R735" s="91"/>
      <c r="S735" s="91"/>
      <c r="T735" s="91"/>
      <c r="U735" s="91"/>
      <c r="V735" s="91"/>
      <c r="W735" s="91"/>
      <c r="X735" s="91"/>
      <c r="Y735" s="91"/>
      <c r="Z735" s="91"/>
    </row>
    <row r="736" ht="24.0" customHeight="1">
      <c r="B736" s="90"/>
      <c r="C736" s="90"/>
      <c r="D736" s="90"/>
      <c r="E736" s="90"/>
      <c r="F736" s="90"/>
      <c r="G736" s="90"/>
      <c r="H736" s="90"/>
      <c r="I736" s="90"/>
      <c r="J736" s="90"/>
      <c r="K736" s="90"/>
      <c r="L736" s="90"/>
      <c r="M736" s="91"/>
      <c r="N736" s="91"/>
      <c r="O736" s="91"/>
      <c r="P736" s="91"/>
      <c r="Q736" s="91"/>
      <c r="R736" s="91"/>
      <c r="S736" s="91"/>
      <c r="T736" s="91"/>
      <c r="U736" s="91"/>
      <c r="V736" s="91"/>
      <c r="W736" s="91"/>
      <c r="X736" s="91"/>
      <c r="Y736" s="91"/>
      <c r="Z736" s="91"/>
    </row>
    <row r="737" ht="24.0" customHeight="1">
      <c r="B737" s="90"/>
      <c r="C737" s="90"/>
      <c r="D737" s="90"/>
      <c r="E737" s="90"/>
      <c r="F737" s="90"/>
      <c r="G737" s="90"/>
      <c r="H737" s="90"/>
      <c r="I737" s="90"/>
      <c r="J737" s="90"/>
      <c r="K737" s="90"/>
      <c r="L737" s="90"/>
      <c r="M737" s="91"/>
      <c r="N737" s="91"/>
      <c r="O737" s="91"/>
      <c r="P737" s="91"/>
      <c r="Q737" s="91"/>
      <c r="R737" s="91"/>
      <c r="S737" s="91"/>
      <c r="T737" s="91"/>
      <c r="U737" s="91"/>
      <c r="V737" s="91"/>
      <c r="W737" s="91"/>
      <c r="X737" s="91"/>
      <c r="Y737" s="91"/>
      <c r="Z737" s="91"/>
    </row>
    <row r="738" ht="24.0" customHeight="1">
      <c r="B738" s="90"/>
      <c r="C738" s="90"/>
      <c r="D738" s="90"/>
      <c r="E738" s="90"/>
      <c r="F738" s="90"/>
      <c r="G738" s="90"/>
      <c r="H738" s="90"/>
      <c r="I738" s="90"/>
      <c r="J738" s="90"/>
      <c r="K738" s="90"/>
      <c r="L738" s="90"/>
      <c r="M738" s="91"/>
      <c r="N738" s="91"/>
      <c r="O738" s="91"/>
      <c r="P738" s="91"/>
      <c r="Q738" s="91"/>
      <c r="R738" s="91"/>
      <c r="S738" s="91"/>
      <c r="T738" s="91"/>
      <c r="U738" s="91"/>
      <c r="V738" s="91"/>
      <c r="W738" s="91"/>
      <c r="X738" s="91"/>
      <c r="Y738" s="91"/>
      <c r="Z738" s="91"/>
    </row>
    <row r="739" ht="24.0" customHeight="1">
      <c r="B739" s="90"/>
      <c r="C739" s="90"/>
      <c r="D739" s="90"/>
      <c r="E739" s="90"/>
      <c r="F739" s="90"/>
      <c r="G739" s="90"/>
      <c r="H739" s="90"/>
      <c r="I739" s="90"/>
      <c r="J739" s="90"/>
      <c r="K739" s="90"/>
      <c r="L739" s="90"/>
      <c r="M739" s="91"/>
      <c r="N739" s="91"/>
      <c r="O739" s="91"/>
      <c r="P739" s="91"/>
      <c r="Q739" s="91"/>
      <c r="R739" s="91"/>
      <c r="S739" s="91"/>
      <c r="T739" s="91"/>
      <c r="U739" s="91"/>
      <c r="V739" s="91"/>
      <c r="W739" s="91"/>
      <c r="X739" s="91"/>
      <c r="Y739" s="91"/>
      <c r="Z739" s="91"/>
    </row>
    <row r="740" ht="24.0" customHeight="1">
      <c r="B740" s="90"/>
      <c r="C740" s="90"/>
      <c r="D740" s="90"/>
      <c r="E740" s="90"/>
      <c r="F740" s="90"/>
      <c r="G740" s="90"/>
      <c r="H740" s="90"/>
      <c r="I740" s="90"/>
      <c r="J740" s="90"/>
      <c r="K740" s="90"/>
      <c r="L740" s="90"/>
      <c r="M740" s="91"/>
      <c r="N740" s="91"/>
      <c r="O740" s="91"/>
      <c r="P740" s="91"/>
      <c r="Q740" s="91"/>
      <c r="R740" s="91"/>
      <c r="S740" s="91"/>
      <c r="T740" s="91"/>
      <c r="U740" s="91"/>
      <c r="V740" s="91"/>
      <c r="W740" s="91"/>
      <c r="X740" s="91"/>
      <c r="Y740" s="91"/>
      <c r="Z740" s="91"/>
    </row>
    <row r="741" ht="24.0" customHeight="1">
      <c r="B741" s="90"/>
      <c r="C741" s="90"/>
      <c r="D741" s="90"/>
      <c r="E741" s="90"/>
      <c r="F741" s="90"/>
      <c r="G741" s="90"/>
      <c r="H741" s="90"/>
      <c r="I741" s="90"/>
      <c r="J741" s="90"/>
      <c r="K741" s="90"/>
      <c r="L741" s="90"/>
      <c r="M741" s="91"/>
      <c r="N741" s="91"/>
      <c r="O741" s="91"/>
      <c r="P741" s="91"/>
      <c r="Q741" s="91"/>
      <c r="R741" s="91"/>
      <c r="S741" s="91"/>
      <c r="T741" s="91"/>
      <c r="U741" s="91"/>
      <c r="V741" s="91"/>
      <c r="W741" s="91"/>
      <c r="X741" s="91"/>
      <c r="Y741" s="91"/>
      <c r="Z741" s="91"/>
    </row>
    <row r="742" ht="24.0" customHeight="1">
      <c r="B742" s="90"/>
      <c r="C742" s="90"/>
      <c r="D742" s="90"/>
      <c r="E742" s="90"/>
      <c r="F742" s="90"/>
      <c r="G742" s="90"/>
      <c r="H742" s="90"/>
      <c r="I742" s="90"/>
      <c r="J742" s="90"/>
      <c r="K742" s="90"/>
      <c r="L742" s="90"/>
      <c r="M742" s="91"/>
      <c r="N742" s="91"/>
      <c r="O742" s="91"/>
      <c r="P742" s="91"/>
      <c r="Q742" s="91"/>
      <c r="R742" s="91"/>
      <c r="S742" s="91"/>
      <c r="T742" s="91"/>
      <c r="U742" s="91"/>
      <c r="V742" s="91"/>
      <c r="W742" s="91"/>
      <c r="X742" s="91"/>
      <c r="Y742" s="91"/>
      <c r="Z742" s="91"/>
    </row>
    <row r="743" ht="24.0" customHeight="1">
      <c r="B743" s="90"/>
      <c r="C743" s="90"/>
      <c r="D743" s="90"/>
      <c r="E743" s="90"/>
      <c r="F743" s="90"/>
      <c r="G743" s="90"/>
      <c r="H743" s="90"/>
      <c r="I743" s="90"/>
      <c r="J743" s="90"/>
      <c r="K743" s="90"/>
      <c r="L743" s="90"/>
      <c r="M743" s="91"/>
      <c r="N743" s="91"/>
      <c r="O743" s="91"/>
      <c r="P743" s="91"/>
      <c r="Q743" s="91"/>
      <c r="R743" s="91"/>
      <c r="S743" s="91"/>
      <c r="T743" s="91"/>
      <c r="U743" s="91"/>
      <c r="V743" s="91"/>
      <c r="W743" s="91"/>
      <c r="X743" s="91"/>
      <c r="Y743" s="91"/>
      <c r="Z743" s="91"/>
    </row>
    <row r="744" ht="24.0" customHeight="1">
      <c r="B744" s="90"/>
      <c r="C744" s="90"/>
      <c r="D744" s="90"/>
      <c r="E744" s="90"/>
      <c r="F744" s="90"/>
      <c r="G744" s="90"/>
      <c r="H744" s="90"/>
      <c r="I744" s="90"/>
      <c r="J744" s="90"/>
      <c r="K744" s="90"/>
      <c r="L744" s="90"/>
      <c r="M744" s="91"/>
      <c r="N744" s="91"/>
      <c r="O744" s="91"/>
      <c r="P744" s="91"/>
      <c r="Q744" s="91"/>
      <c r="R744" s="91"/>
      <c r="S744" s="91"/>
      <c r="T744" s="91"/>
      <c r="U744" s="91"/>
      <c r="V744" s="91"/>
      <c r="W744" s="91"/>
      <c r="X744" s="91"/>
      <c r="Y744" s="91"/>
      <c r="Z744" s="91"/>
    </row>
    <row r="745" ht="24.0" customHeight="1">
      <c r="B745" s="90"/>
      <c r="C745" s="90"/>
      <c r="D745" s="90"/>
      <c r="E745" s="90"/>
      <c r="F745" s="90"/>
      <c r="G745" s="90"/>
      <c r="H745" s="90"/>
      <c r="I745" s="90"/>
      <c r="J745" s="90"/>
      <c r="K745" s="90"/>
      <c r="L745" s="90"/>
      <c r="M745" s="91"/>
      <c r="N745" s="91"/>
      <c r="O745" s="91"/>
      <c r="P745" s="91"/>
      <c r="Q745" s="91"/>
      <c r="R745" s="91"/>
      <c r="S745" s="91"/>
      <c r="T745" s="91"/>
      <c r="U745" s="91"/>
      <c r="V745" s="91"/>
      <c r="W745" s="91"/>
      <c r="X745" s="91"/>
      <c r="Y745" s="91"/>
      <c r="Z745" s="91"/>
    </row>
    <row r="746" ht="24.0" customHeight="1">
      <c r="B746" s="90"/>
      <c r="C746" s="90"/>
      <c r="D746" s="90"/>
      <c r="E746" s="90"/>
      <c r="F746" s="90"/>
      <c r="G746" s="90"/>
      <c r="H746" s="90"/>
      <c r="I746" s="90"/>
      <c r="J746" s="90"/>
      <c r="K746" s="90"/>
      <c r="L746" s="90"/>
      <c r="M746" s="91"/>
      <c r="N746" s="91"/>
      <c r="O746" s="91"/>
      <c r="P746" s="91"/>
      <c r="Q746" s="91"/>
      <c r="R746" s="91"/>
      <c r="S746" s="91"/>
      <c r="T746" s="91"/>
      <c r="U746" s="91"/>
      <c r="V746" s="91"/>
      <c r="W746" s="91"/>
      <c r="X746" s="91"/>
      <c r="Y746" s="91"/>
      <c r="Z746" s="91"/>
    </row>
    <row r="747" ht="24.0" customHeight="1">
      <c r="B747" s="90"/>
      <c r="C747" s="90"/>
      <c r="D747" s="90"/>
      <c r="E747" s="90"/>
      <c r="F747" s="90"/>
      <c r="G747" s="90"/>
      <c r="H747" s="90"/>
      <c r="I747" s="90"/>
      <c r="J747" s="90"/>
      <c r="K747" s="90"/>
      <c r="L747" s="90"/>
      <c r="M747" s="91"/>
      <c r="N747" s="91"/>
      <c r="O747" s="91"/>
      <c r="P747" s="91"/>
      <c r="Q747" s="91"/>
      <c r="R747" s="91"/>
      <c r="S747" s="91"/>
      <c r="T747" s="91"/>
      <c r="U747" s="91"/>
      <c r="V747" s="91"/>
      <c r="W747" s="91"/>
      <c r="X747" s="91"/>
      <c r="Y747" s="91"/>
      <c r="Z747" s="91"/>
    </row>
    <row r="748" ht="24.0" customHeight="1">
      <c r="B748" s="90"/>
      <c r="C748" s="90"/>
      <c r="D748" s="90"/>
      <c r="E748" s="90"/>
      <c r="F748" s="90"/>
      <c r="G748" s="90"/>
      <c r="H748" s="90"/>
      <c r="I748" s="90"/>
      <c r="J748" s="90"/>
      <c r="K748" s="90"/>
      <c r="L748" s="90"/>
      <c r="M748" s="91"/>
      <c r="N748" s="91"/>
      <c r="O748" s="91"/>
      <c r="P748" s="91"/>
      <c r="Q748" s="91"/>
      <c r="R748" s="91"/>
      <c r="S748" s="91"/>
      <c r="T748" s="91"/>
      <c r="U748" s="91"/>
      <c r="V748" s="91"/>
      <c r="W748" s="91"/>
      <c r="X748" s="91"/>
      <c r="Y748" s="91"/>
      <c r="Z748" s="91"/>
    </row>
    <row r="749" ht="24.0" customHeight="1">
      <c r="B749" s="90"/>
      <c r="C749" s="90"/>
      <c r="D749" s="90"/>
      <c r="E749" s="90"/>
      <c r="F749" s="90"/>
      <c r="G749" s="90"/>
      <c r="H749" s="90"/>
      <c r="I749" s="90"/>
      <c r="J749" s="90"/>
      <c r="K749" s="90"/>
      <c r="L749" s="90"/>
      <c r="M749" s="91"/>
      <c r="N749" s="91"/>
      <c r="O749" s="91"/>
      <c r="P749" s="91"/>
      <c r="Q749" s="91"/>
      <c r="R749" s="91"/>
      <c r="S749" s="91"/>
      <c r="T749" s="91"/>
      <c r="U749" s="91"/>
      <c r="V749" s="91"/>
      <c r="W749" s="91"/>
      <c r="X749" s="91"/>
      <c r="Y749" s="91"/>
      <c r="Z749" s="91"/>
    </row>
    <row r="750" ht="24.0" customHeight="1">
      <c r="B750" s="90"/>
      <c r="C750" s="90"/>
      <c r="D750" s="90"/>
      <c r="E750" s="90"/>
      <c r="F750" s="90"/>
      <c r="G750" s="90"/>
      <c r="H750" s="90"/>
      <c r="I750" s="90"/>
      <c r="J750" s="90"/>
      <c r="K750" s="90"/>
      <c r="L750" s="90"/>
      <c r="M750" s="91"/>
      <c r="N750" s="91"/>
      <c r="O750" s="91"/>
      <c r="P750" s="91"/>
      <c r="Q750" s="91"/>
      <c r="R750" s="91"/>
      <c r="S750" s="91"/>
      <c r="T750" s="91"/>
      <c r="U750" s="91"/>
      <c r="V750" s="91"/>
      <c r="W750" s="91"/>
      <c r="X750" s="91"/>
      <c r="Y750" s="91"/>
      <c r="Z750" s="91"/>
    </row>
    <row r="751" ht="24.0" customHeight="1">
      <c r="B751" s="90"/>
      <c r="C751" s="90"/>
      <c r="D751" s="90"/>
      <c r="E751" s="90"/>
      <c r="F751" s="90"/>
      <c r="G751" s="90"/>
      <c r="H751" s="90"/>
      <c r="I751" s="90"/>
      <c r="J751" s="90"/>
      <c r="K751" s="90"/>
      <c r="L751" s="90"/>
      <c r="M751" s="91"/>
      <c r="N751" s="91"/>
      <c r="O751" s="91"/>
      <c r="P751" s="91"/>
      <c r="Q751" s="91"/>
      <c r="R751" s="91"/>
      <c r="S751" s="91"/>
      <c r="T751" s="91"/>
      <c r="U751" s="91"/>
      <c r="V751" s="91"/>
      <c r="W751" s="91"/>
      <c r="X751" s="91"/>
      <c r="Y751" s="91"/>
      <c r="Z751" s="91"/>
    </row>
    <row r="752" ht="24.0" customHeight="1">
      <c r="B752" s="90"/>
      <c r="C752" s="90"/>
      <c r="D752" s="90"/>
      <c r="E752" s="90"/>
      <c r="F752" s="90"/>
      <c r="G752" s="90"/>
      <c r="H752" s="90"/>
      <c r="I752" s="90"/>
      <c r="J752" s="90"/>
      <c r="K752" s="90"/>
      <c r="L752" s="90"/>
      <c r="M752" s="91"/>
      <c r="N752" s="91"/>
      <c r="O752" s="91"/>
      <c r="P752" s="91"/>
      <c r="Q752" s="91"/>
      <c r="R752" s="91"/>
      <c r="S752" s="91"/>
      <c r="T752" s="91"/>
      <c r="U752" s="91"/>
      <c r="V752" s="91"/>
      <c r="W752" s="91"/>
      <c r="X752" s="91"/>
      <c r="Y752" s="91"/>
      <c r="Z752" s="91"/>
    </row>
    <row r="753" ht="24.0" customHeight="1">
      <c r="B753" s="90"/>
      <c r="C753" s="90"/>
      <c r="D753" s="90"/>
      <c r="E753" s="90"/>
      <c r="F753" s="90"/>
      <c r="G753" s="90"/>
      <c r="H753" s="90"/>
      <c r="I753" s="90"/>
      <c r="J753" s="90"/>
      <c r="K753" s="90"/>
      <c r="L753" s="90"/>
      <c r="M753" s="91"/>
      <c r="N753" s="91"/>
      <c r="O753" s="91"/>
      <c r="P753" s="91"/>
      <c r="Q753" s="91"/>
      <c r="R753" s="91"/>
      <c r="S753" s="91"/>
      <c r="T753" s="91"/>
      <c r="U753" s="91"/>
      <c r="V753" s="91"/>
      <c r="W753" s="91"/>
      <c r="X753" s="91"/>
      <c r="Y753" s="91"/>
      <c r="Z753" s="91"/>
    </row>
    <row r="754" ht="24.0" customHeight="1">
      <c r="B754" s="90"/>
      <c r="C754" s="90"/>
      <c r="D754" s="90"/>
      <c r="E754" s="90"/>
      <c r="F754" s="90"/>
      <c r="G754" s="90"/>
      <c r="H754" s="90"/>
      <c r="I754" s="90"/>
      <c r="J754" s="90"/>
      <c r="K754" s="90"/>
      <c r="L754" s="90"/>
      <c r="M754" s="91"/>
      <c r="N754" s="91"/>
      <c r="O754" s="91"/>
      <c r="P754" s="91"/>
      <c r="Q754" s="91"/>
      <c r="R754" s="91"/>
      <c r="S754" s="91"/>
      <c r="T754" s="91"/>
      <c r="U754" s="91"/>
      <c r="V754" s="91"/>
      <c r="W754" s="91"/>
      <c r="X754" s="91"/>
      <c r="Y754" s="91"/>
      <c r="Z754" s="91"/>
    </row>
    <row r="755" ht="24.0" customHeight="1">
      <c r="B755" s="90"/>
      <c r="C755" s="90"/>
      <c r="D755" s="90"/>
      <c r="E755" s="90"/>
      <c r="F755" s="90"/>
      <c r="G755" s="90"/>
      <c r="H755" s="90"/>
      <c r="I755" s="90"/>
      <c r="J755" s="90"/>
      <c r="K755" s="90"/>
      <c r="L755" s="90"/>
      <c r="M755" s="91"/>
      <c r="N755" s="91"/>
      <c r="O755" s="91"/>
      <c r="P755" s="91"/>
      <c r="Q755" s="91"/>
      <c r="R755" s="91"/>
      <c r="S755" s="91"/>
      <c r="T755" s="91"/>
      <c r="U755" s="91"/>
      <c r="V755" s="91"/>
      <c r="W755" s="91"/>
      <c r="X755" s="91"/>
      <c r="Y755" s="91"/>
      <c r="Z755" s="91"/>
    </row>
    <row r="756" ht="24.0" customHeight="1">
      <c r="B756" s="90"/>
      <c r="C756" s="90"/>
      <c r="D756" s="90"/>
      <c r="E756" s="90"/>
      <c r="F756" s="90"/>
      <c r="G756" s="90"/>
      <c r="H756" s="90"/>
      <c r="I756" s="90"/>
      <c r="J756" s="90"/>
      <c r="K756" s="90"/>
      <c r="L756" s="90"/>
      <c r="M756" s="91"/>
      <c r="N756" s="91"/>
      <c r="O756" s="91"/>
      <c r="P756" s="91"/>
      <c r="Q756" s="91"/>
      <c r="R756" s="91"/>
      <c r="S756" s="91"/>
      <c r="T756" s="91"/>
      <c r="U756" s="91"/>
      <c r="V756" s="91"/>
      <c r="W756" s="91"/>
      <c r="X756" s="91"/>
      <c r="Y756" s="91"/>
      <c r="Z756" s="91"/>
    </row>
    <row r="757" ht="24.0" customHeight="1">
      <c r="B757" s="90"/>
      <c r="C757" s="90"/>
      <c r="D757" s="90"/>
      <c r="E757" s="90"/>
      <c r="F757" s="90"/>
      <c r="G757" s="90"/>
      <c r="H757" s="90"/>
      <c r="I757" s="90"/>
      <c r="J757" s="90"/>
      <c r="K757" s="90"/>
      <c r="L757" s="90"/>
      <c r="M757" s="91"/>
      <c r="N757" s="91"/>
      <c r="O757" s="91"/>
      <c r="P757" s="91"/>
      <c r="Q757" s="91"/>
      <c r="R757" s="91"/>
      <c r="S757" s="91"/>
      <c r="T757" s="91"/>
      <c r="U757" s="91"/>
      <c r="V757" s="91"/>
      <c r="W757" s="91"/>
      <c r="X757" s="91"/>
      <c r="Y757" s="91"/>
      <c r="Z757" s="91"/>
    </row>
    <row r="758" ht="24.0" customHeight="1">
      <c r="B758" s="90"/>
      <c r="C758" s="90"/>
      <c r="D758" s="90"/>
      <c r="E758" s="90"/>
      <c r="F758" s="90"/>
      <c r="G758" s="90"/>
      <c r="H758" s="90"/>
      <c r="I758" s="90"/>
      <c r="J758" s="90"/>
      <c r="K758" s="90"/>
      <c r="L758" s="90"/>
      <c r="M758" s="91"/>
      <c r="N758" s="91"/>
      <c r="O758" s="91"/>
      <c r="P758" s="91"/>
      <c r="Q758" s="91"/>
      <c r="R758" s="91"/>
      <c r="S758" s="91"/>
      <c r="T758" s="91"/>
      <c r="U758" s="91"/>
      <c r="V758" s="91"/>
      <c r="W758" s="91"/>
      <c r="X758" s="91"/>
      <c r="Y758" s="91"/>
      <c r="Z758" s="91"/>
    </row>
    <row r="759" ht="24.0" customHeight="1">
      <c r="B759" s="90"/>
      <c r="C759" s="90"/>
      <c r="D759" s="90"/>
      <c r="E759" s="90"/>
      <c r="F759" s="90"/>
      <c r="G759" s="90"/>
      <c r="H759" s="90"/>
      <c r="I759" s="90"/>
      <c r="J759" s="90"/>
      <c r="K759" s="90"/>
      <c r="L759" s="90"/>
      <c r="M759" s="91"/>
      <c r="N759" s="91"/>
      <c r="O759" s="91"/>
      <c r="P759" s="91"/>
      <c r="Q759" s="91"/>
      <c r="R759" s="91"/>
      <c r="S759" s="91"/>
      <c r="T759" s="91"/>
      <c r="U759" s="91"/>
      <c r="V759" s="91"/>
      <c r="W759" s="91"/>
      <c r="X759" s="91"/>
      <c r="Y759" s="91"/>
      <c r="Z759" s="91"/>
    </row>
    <row r="760" ht="24.0" customHeight="1">
      <c r="B760" s="90"/>
      <c r="C760" s="90"/>
      <c r="D760" s="90"/>
      <c r="E760" s="90"/>
      <c r="F760" s="90"/>
      <c r="G760" s="90"/>
      <c r="H760" s="90"/>
      <c r="I760" s="90"/>
      <c r="J760" s="90"/>
      <c r="K760" s="90"/>
      <c r="L760" s="90"/>
      <c r="M760" s="91"/>
      <c r="N760" s="91"/>
      <c r="O760" s="91"/>
      <c r="P760" s="91"/>
      <c r="Q760" s="91"/>
      <c r="R760" s="91"/>
      <c r="S760" s="91"/>
      <c r="T760" s="91"/>
      <c r="U760" s="91"/>
      <c r="V760" s="91"/>
      <c r="W760" s="91"/>
      <c r="X760" s="91"/>
      <c r="Y760" s="91"/>
      <c r="Z760" s="91"/>
    </row>
    <row r="761" ht="24.0" customHeight="1">
      <c r="B761" s="90"/>
      <c r="C761" s="90"/>
      <c r="D761" s="90"/>
      <c r="E761" s="90"/>
      <c r="F761" s="90"/>
      <c r="G761" s="90"/>
      <c r="H761" s="90"/>
      <c r="I761" s="90"/>
      <c r="J761" s="90"/>
      <c r="K761" s="90"/>
      <c r="L761" s="90"/>
      <c r="M761" s="91"/>
      <c r="N761" s="91"/>
      <c r="O761" s="91"/>
      <c r="P761" s="91"/>
      <c r="Q761" s="91"/>
      <c r="R761" s="91"/>
      <c r="S761" s="91"/>
      <c r="T761" s="91"/>
      <c r="U761" s="91"/>
      <c r="V761" s="91"/>
      <c r="W761" s="91"/>
      <c r="X761" s="91"/>
      <c r="Y761" s="91"/>
      <c r="Z761" s="91"/>
    </row>
    <row r="762" ht="24.0" customHeight="1">
      <c r="B762" s="90"/>
      <c r="C762" s="90"/>
      <c r="D762" s="90"/>
      <c r="E762" s="90"/>
      <c r="F762" s="90"/>
      <c r="G762" s="90"/>
      <c r="H762" s="90"/>
      <c r="I762" s="90"/>
      <c r="J762" s="90"/>
      <c r="K762" s="90"/>
      <c r="L762" s="90"/>
      <c r="M762" s="91"/>
      <c r="N762" s="91"/>
      <c r="O762" s="91"/>
      <c r="P762" s="91"/>
      <c r="Q762" s="91"/>
      <c r="R762" s="91"/>
      <c r="S762" s="91"/>
      <c r="T762" s="91"/>
      <c r="U762" s="91"/>
      <c r="V762" s="91"/>
      <c r="W762" s="91"/>
      <c r="X762" s="91"/>
      <c r="Y762" s="91"/>
      <c r="Z762" s="91"/>
    </row>
    <row r="763" ht="24.0" customHeight="1">
      <c r="B763" s="90"/>
      <c r="C763" s="90"/>
      <c r="D763" s="90"/>
      <c r="E763" s="90"/>
      <c r="F763" s="90"/>
      <c r="G763" s="90"/>
      <c r="H763" s="90"/>
      <c r="I763" s="90"/>
      <c r="J763" s="90"/>
      <c r="K763" s="90"/>
      <c r="L763" s="90"/>
      <c r="M763" s="91"/>
      <c r="N763" s="91"/>
      <c r="O763" s="91"/>
      <c r="P763" s="91"/>
      <c r="Q763" s="91"/>
      <c r="R763" s="91"/>
      <c r="S763" s="91"/>
      <c r="T763" s="91"/>
      <c r="U763" s="91"/>
      <c r="V763" s="91"/>
      <c r="W763" s="91"/>
      <c r="X763" s="91"/>
      <c r="Y763" s="91"/>
      <c r="Z763" s="91"/>
    </row>
    <row r="764" ht="24.0" customHeight="1">
      <c r="B764" s="90"/>
      <c r="C764" s="90"/>
      <c r="D764" s="90"/>
      <c r="E764" s="90"/>
      <c r="F764" s="90"/>
      <c r="G764" s="90"/>
      <c r="H764" s="90"/>
      <c r="I764" s="90"/>
      <c r="J764" s="90"/>
      <c r="K764" s="90"/>
      <c r="L764" s="90"/>
      <c r="M764" s="91"/>
      <c r="N764" s="91"/>
      <c r="O764" s="91"/>
      <c r="P764" s="91"/>
      <c r="Q764" s="91"/>
      <c r="R764" s="91"/>
      <c r="S764" s="91"/>
      <c r="T764" s="91"/>
      <c r="U764" s="91"/>
      <c r="V764" s="91"/>
      <c r="W764" s="91"/>
      <c r="X764" s="91"/>
      <c r="Y764" s="91"/>
      <c r="Z764" s="91"/>
    </row>
    <row r="765" ht="24.0" customHeight="1">
      <c r="B765" s="90"/>
      <c r="C765" s="90"/>
      <c r="D765" s="90"/>
      <c r="E765" s="90"/>
      <c r="F765" s="90"/>
      <c r="G765" s="90"/>
      <c r="H765" s="90"/>
      <c r="I765" s="90"/>
      <c r="J765" s="90"/>
      <c r="K765" s="90"/>
      <c r="L765" s="90"/>
      <c r="M765" s="91"/>
      <c r="N765" s="91"/>
      <c r="O765" s="91"/>
      <c r="P765" s="91"/>
      <c r="Q765" s="91"/>
      <c r="R765" s="91"/>
      <c r="S765" s="91"/>
      <c r="T765" s="91"/>
      <c r="U765" s="91"/>
      <c r="V765" s="91"/>
      <c r="W765" s="91"/>
      <c r="X765" s="91"/>
      <c r="Y765" s="91"/>
      <c r="Z765" s="91"/>
    </row>
    <row r="766" ht="24.0" customHeight="1">
      <c r="B766" s="90"/>
      <c r="C766" s="90"/>
      <c r="D766" s="90"/>
      <c r="E766" s="90"/>
      <c r="F766" s="90"/>
      <c r="G766" s="90"/>
      <c r="H766" s="90"/>
      <c r="I766" s="90"/>
      <c r="J766" s="90"/>
      <c r="K766" s="90"/>
      <c r="L766" s="90"/>
      <c r="M766" s="91"/>
      <c r="N766" s="91"/>
      <c r="O766" s="91"/>
      <c r="P766" s="91"/>
      <c r="Q766" s="91"/>
      <c r="R766" s="91"/>
      <c r="S766" s="91"/>
      <c r="T766" s="91"/>
      <c r="U766" s="91"/>
      <c r="V766" s="91"/>
      <c r="W766" s="91"/>
      <c r="X766" s="91"/>
      <c r="Y766" s="91"/>
      <c r="Z766" s="91"/>
    </row>
    <row r="767" ht="24.0" customHeight="1">
      <c r="B767" s="90"/>
      <c r="C767" s="90"/>
      <c r="D767" s="90"/>
      <c r="E767" s="90"/>
      <c r="F767" s="90"/>
      <c r="G767" s="90"/>
      <c r="H767" s="90"/>
      <c r="I767" s="90"/>
      <c r="J767" s="90"/>
      <c r="K767" s="90"/>
      <c r="L767" s="90"/>
      <c r="M767" s="91"/>
      <c r="N767" s="91"/>
      <c r="O767" s="91"/>
      <c r="P767" s="91"/>
      <c r="Q767" s="91"/>
      <c r="R767" s="91"/>
      <c r="S767" s="91"/>
      <c r="T767" s="91"/>
      <c r="U767" s="91"/>
      <c r="V767" s="91"/>
      <c r="W767" s="91"/>
      <c r="X767" s="91"/>
      <c r="Y767" s="91"/>
      <c r="Z767" s="91"/>
    </row>
    <row r="768" ht="24.0" customHeight="1">
      <c r="B768" s="90"/>
      <c r="C768" s="90"/>
      <c r="D768" s="90"/>
      <c r="E768" s="90"/>
      <c r="F768" s="90"/>
      <c r="G768" s="90"/>
      <c r="H768" s="90"/>
      <c r="I768" s="90"/>
      <c r="J768" s="90"/>
      <c r="K768" s="90"/>
      <c r="L768" s="90"/>
      <c r="M768" s="91"/>
      <c r="N768" s="91"/>
      <c r="O768" s="91"/>
      <c r="P768" s="91"/>
      <c r="Q768" s="91"/>
      <c r="R768" s="91"/>
      <c r="S768" s="91"/>
      <c r="T768" s="91"/>
      <c r="U768" s="91"/>
      <c r="V768" s="91"/>
      <c r="W768" s="91"/>
      <c r="X768" s="91"/>
      <c r="Y768" s="91"/>
      <c r="Z768" s="91"/>
    </row>
    <row r="769" ht="24.0" customHeight="1">
      <c r="B769" s="90"/>
      <c r="C769" s="90"/>
      <c r="D769" s="90"/>
      <c r="E769" s="90"/>
      <c r="F769" s="90"/>
      <c r="G769" s="90"/>
      <c r="H769" s="90"/>
      <c r="I769" s="90"/>
      <c r="J769" s="90"/>
      <c r="K769" s="90"/>
      <c r="L769" s="90"/>
      <c r="M769" s="91"/>
      <c r="N769" s="91"/>
      <c r="O769" s="91"/>
      <c r="P769" s="91"/>
      <c r="Q769" s="91"/>
      <c r="R769" s="91"/>
      <c r="S769" s="91"/>
      <c r="T769" s="91"/>
      <c r="U769" s="91"/>
      <c r="V769" s="91"/>
      <c r="W769" s="91"/>
      <c r="X769" s="91"/>
      <c r="Y769" s="91"/>
      <c r="Z769" s="91"/>
    </row>
    <row r="770" ht="24.0" customHeight="1">
      <c r="B770" s="90"/>
      <c r="C770" s="90"/>
      <c r="D770" s="90"/>
      <c r="E770" s="90"/>
      <c r="F770" s="90"/>
      <c r="G770" s="90"/>
      <c r="H770" s="90"/>
      <c r="I770" s="90"/>
      <c r="J770" s="90"/>
      <c r="K770" s="90"/>
      <c r="L770" s="90"/>
      <c r="M770" s="91"/>
      <c r="N770" s="91"/>
      <c r="O770" s="91"/>
      <c r="P770" s="91"/>
      <c r="Q770" s="91"/>
      <c r="R770" s="91"/>
      <c r="S770" s="91"/>
      <c r="T770" s="91"/>
      <c r="U770" s="91"/>
      <c r="V770" s="91"/>
      <c r="W770" s="91"/>
      <c r="X770" s="91"/>
      <c r="Y770" s="91"/>
      <c r="Z770" s="91"/>
    </row>
    <row r="771" ht="24.0" customHeight="1">
      <c r="B771" s="90"/>
      <c r="C771" s="90"/>
      <c r="D771" s="90"/>
      <c r="E771" s="90"/>
      <c r="F771" s="90"/>
      <c r="G771" s="90"/>
      <c r="H771" s="90"/>
      <c r="I771" s="90"/>
      <c r="J771" s="90"/>
      <c r="K771" s="90"/>
      <c r="L771" s="90"/>
      <c r="M771" s="91"/>
      <c r="N771" s="91"/>
      <c r="O771" s="91"/>
      <c r="P771" s="91"/>
      <c r="Q771" s="91"/>
      <c r="R771" s="91"/>
      <c r="S771" s="91"/>
      <c r="T771" s="91"/>
      <c r="U771" s="91"/>
      <c r="V771" s="91"/>
      <c r="W771" s="91"/>
      <c r="X771" s="91"/>
      <c r="Y771" s="91"/>
      <c r="Z771" s="91"/>
    </row>
    <row r="772" ht="24.0" customHeight="1">
      <c r="B772" s="90"/>
      <c r="C772" s="90"/>
      <c r="D772" s="90"/>
      <c r="E772" s="90"/>
      <c r="F772" s="90"/>
      <c r="G772" s="90"/>
      <c r="H772" s="90"/>
      <c r="I772" s="90"/>
      <c r="J772" s="90"/>
      <c r="K772" s="90"/>
      <c r="L772" s="90"/>
      <c r="M772" s="91"/>
      <c r="N772" s="91"/>
      <c r="O772" s="91"/>
      <c r="P772" s="91"/>
      <c r="Q772" s="91"/>
      <c r="R772" s="91"/>
      <c r="S772" s="91"/>
      <c r="T772" s="91"/>
      <c r="U772" s="91"/>
      <c r="V772" s="91"/>
      <c r="W772" s="91"/>
      <c r="X772" s="91"/>
      <c r="Y772" s="91"/>
      <c r="Z772" s="91"/>
    </row>
    <row r="773" ht="24.0" customHeight="1">
      <c r="B773" s="90"/>
      <c r="C773" s="90"/>
      <c r="D773" s="90"/>
      <c r="E773" s="90"/>
      <c r="F773" s="90"/>
      <c r="G773" s="90"/>
      <c r="H773" s="90"/>
      <c r="I773" s="90"/>
      <c r="J773" s="90"/>
      <c r="K773" s="90"/>
      <c r="L773" s="90"/>
      <c r="M773" s="91"/>
      <c r="N773" s="91"/>
      <c r="O773" s="91"/>
      <c r="P773" s="91"/>
      <c r="Q773" s="91"/>
      <c r="R773" s="91"/>
      <c r="S773" s="91"/>
      <c r="T773" s="91"/>
      <c r="U773" s="91"/>
      <c r="V773" s="91"/>
      <c r="W773" s="91"/>
      <c r="X773" s="91"/>
      <c r="Y773" s="91"/>
      <c r="Z773" s="91"/>
    </row>
    <row r="774" ht="24.0" customHeight="1">
      <c r="B774" s="90"/>
      <c r="C774" s="90"/>
      <c r="D774" s="90"/>
      <c r="E774" s="90"/>
      <c r="F774" s="90"/>
      <c r="G774" s="90"/>
      <c r="H774" s="90"/>
      <c r="I774" s="90"/>
      <c r="J774" s="90"/>
      <c r="K774" s="90"/>
      <c r="L774" s="90"/>
      <c r="M774" s="91"/>
      <c r="N774" s="91"/>
      <c r="O774" s="91"/>
      <c r="P774" s="91"/>
      <c r="Q774" s="91"/>
      <c r="R774" s="91"/>
      <c r="S774" s="91"/>
      <c r="T774" s="91"/>
      <c r="U774" s="91"/>
      <c r="V774" s="91"/>
      <c r="W774" s="91"/>
      <c r="X774" s="91"/>
      <c r="Y774" s="91"/>
      <c r="Z774" s="91"/>
    </row>
    <row r="775" ht="24.0" customHeight="1">
      <c r="B775" s="90"/>
      <c r="C775" s="90"/>
      <c r="D775" s="90"/>
      <c r="E775" s="90"/>
      <c r="F775" s="90"/>
      <c r="G775" s="90"/>
      <c r="H775" s="90"/>
      <c r="I775" s="90"/>
      <c r="J775" s="90"/>
      <c r="K775" s="90"/>
      <c r="L775" s="90"/>
      <c r="M775" s="91"/>
      <c r="N775" s="91"/>
      <c r="O775" s="91"/>
      <c r="P775" s="91"/>
      <c r="Q775" s="91"/>
      <c r="R775" s="91"/>
      <c r="S775" s="91"/>
      <c r="T775" s="91"/>
      <c r="U775" s="91"/>
      <c r="V775" s="91"/>
      <c r="W775" s="91"/>
      <c r="X775" s="91"/>
      <c r="Y775" s="91"/>
      <c r="Z775" s="91"/>
    </row>
    <row r="776" ht="24.0" customHeight="1">
      <c r="B776" s="90"/>
      <c r="C776" s="90"/>
      <c r="D776" s="90"/>
      <c r="E776" s="90"/>
      <c r="F776" s="90"/>
      <c r="G776" s="90"/>
      <c r="H776" s="90"/>
      <c r="I776" s="90"/>
      <c r="J776" s="90"/>
      <c r="K776" s="90"/>
      <c r="L776" s="90"/>
      <c r="M776" s="91"/>
      <c r="N776" s="91"/>
      <c r="O776" s="91"/>
      <c r="P776" s="91"/>
      <c r="Q776" s="91"/>
      <c r="R776" s="91"/>
      <c r="S776" s="91"/>
      <c r="T776" s="91"/>
      <c r="U776" s="91"/>
      <c r="V776" s="91"/>
      <c r="W776" s="91"/>
      <c r="X776" s="91"/>
      <c r="Y776" s="91"/>
      <c r="Z776" s="91"/>
    </row>
    <row r="777" ht="24.0" customHeight="1">
      <c r="B777" s="90"/>
      <c r="C777" s="90"/>
      <c r="D777" s="90"/>
      <c r="E777" s="90"/>
      <c r="F777" s="90"/>
      <c r="G777" s="90"/>
      <c r="H777" s="90"/>
      <c r="I777" s="90"/>
      <c r="J777" s="90"/>
      <c r="K777" s="90"/>
      <c r="L777" s="90"/>
      <c r="M777" s="91"/>
      <c r="N777" s="91"/>
      <c r="O777" s="91"/>
      <c r="P777" s="91"/>
      <c r="Q777" s="91"/>
      <c r="R777" s="91"/>
      <c r="S777" s="91"/>
      <c r="T777" s="91"/>
      <c r="U777" s="91"/>
      <c r="V777" s="91"/>
      <c r="W777" s="91"/>
      <c r="X777" s="91"/>
      <c r="Y777" s="91"/>
      <c r="Z777" s="91"/>
    </row>
    <row r="778" ht="24.0" customHeight="1">
      <c r="B778" s="90"/>
      <c r="C778" s="90"/>
      <c r="D778" s="90"/>
      <c r="E778" s="90"/>
      <c r="F778" s="90"/>
      <c r="G778" s="90"/>
      <c r="H778" s="90"/>
      <c r="I778" s="90"/>
      <c r="J778" s="90"/>
      <c r="K778" s="90"/>
      <c r="L778" s="90"/>
      <c r="M778" s="91"/>
      <c r="N778" s="91"/>
      <c r="O778" s="91"/>
      <c r="P778" s="91"/>
      <c r="Q778" s="91"/>
      <c r="R778" s="91"/>
      <c r="S778" s="91"/>
      <c r="T778" s="91"/>
      <c r="U778" s="91"/>
      <c r="V778" s="91"/>
      <c r="W778" s="91"/>
      <c r="X778" s="91"/>
      <c r="Y778" s="91"/>
      <c r="Z778" s="91"/>
    </row>
    <row r="779" ht="24.0" customHeight="1">
      <c r="B779" s="90"/>
      <c r="C779" s="90"/>
      <c r="D779" s="90"/>
      <c r="E779" s="90"/>
      <c r="F779" s="90"/>
      <c r="G779" s="90"/>
      <c r="H779" s="90"/>
      <c r="I779" s="90"/>
      <c r="J779" s="90"/>
      <c r="K779" s="90"/>
      <c r="L779" s="90"/>
      <c r="M779" s="91"/>
      <c r="N779" s="91"/>
      <c r="O779" s="91"/>
      <c r="P779" s="91"/>
      <c r="Q779" s="91"/>
      <c r="R779" s="91"/>
      <c r="S779" s="91"/>
      <c r="T779" s="91"/>
      <c r="U779" s="91"/>
      <c r="V779" s="91"/>
      <c r="W779" s="91"/>
      <c r="X779" s="91"/>
      <c r="Y779" s="91"/>
      <c r="Z779" s="91"/>
    </row>
    <row r="780" ht="24.0" customHeight="1">
      <c r="B780" s="90"/>
      <c r="C780" s="90"/>
      <c r="D780" s="90"/>
      <c r="E780" s="90"/>
      <c r="F780" s="90"/>
      <c r="G780" s="90"/>
      <c r="H780" s="90"/>
      <c r="I780" s="90"/>
      <c r="J780" s="90"/>
      <c r="K780" s="90"/>
      <c r="L780" s="90"/>
      <c r="M780" s="91"/>
      <c r="N780" s="91"/>
      <c r="O780" s="91"/>
      <c r="P780" s="91"/>
      <c r="Q780" s="91"/>
      <c r="R780" s="91"/>
      <c r="S780" s="91"/>
      <c r="T780" s="91"/>
      <c r="U780" s="91"/>
      <c r="V780" s="91"/>
      <c r="W780" s="91"/>
      <c r="X780" s="91"/>
      <c r="Y780" s="91"/>
      <c r="Z780" s="91"/>
    </row>
    <row r="781" ht="24.0" customHeight="1">
      <c r="B781" s="90"/>
      <c r="C781" s="90"/>
      <c r="D781" s="90"/>
      <c r="E781" s="90"/>
      <c r="F781" s="90"/>
      <c r="G781" s="90"/>
      <c r="H781" s="90"/>
      <c r="I781" s="90"/>
      <c r="J781" s="90"/>
      <c r="K781" s="90"/>
      <c r="L781" s="90"/>
      <c r="M781" s="91"/>
      <c r="N781" s="91"/>
      <c r="O781" s="91"/>
      <c r="P781" s="91"/>
      <c r="Q781" s="91"/>
      <c r="R781" s="91"/>
      <c r="S781" s="91"/>
      <c r="T781" s="91"/>
      <c r="U781" s="91"/>
      <c r="V781" s="91"/>
      <c r="W781" s="91"/>
      <c r="X781" s="91"/>
      <c r="Y781" s="91"/>
      <c r="Z781" s="91"/>
    </row>
    <row r="782" ht="24.0" customHeight="1">
      <c r="B782" s="90"/>
      <c r="C782" s="90"/>
      <c r="D782" s="90"/>
      <c r="E782" s="90"/>
      <c r="F782" s="90"/>
      <c r="G782" s="90"/>
      <c r="H782" s="90"/>
      <c r="I782" s="90"/>
      <c r="J782" s="90"/>
      <c r="K782" s="90"/>
      <c r="L782" s="90"/>
      <c r="M782" s="91"/>
      <c r="N782" s="91"/>
      <c r="O782" s="91"/>
      <c r="P782" s="91"/>
      <c r="Q782" s="91"/>
      <c r="R782" s="91"/>
      <c r="S782" s="91"/>
      <c r="T782" s="91"/>
      <c r="U782" s="91"/>
      <c r="V782" s="91"/>
      <c r="W782" s="91"/>
      <c r="X782" s="91"/>
      <c r="Y782" s="91"/>
      <c r="Z782" s="91"/>
    </row>
    <row r="783" ht="24.0" customHeight="1">
      <c r="B783" s="90"/>
      <c r="C783" s="90"/>
      <c r="D783" s="90"/>
      <c r="E783" s="90"/>
      <c r="F783" s="90"/>
      <c r="G783" s="90"/>
      <c r="H783" s="90"/>
      <c r="I783" s="90"/>
      <c r="J783" s="90"/>
      <c r="K783" s="90"/>
      <c r="L783" s="90"/>
      <c r="M783" s="91"/>
      <c r="N783" s="91"/>
      <c r="O783" s="91"/>
      <c r="P783" s="91"/>
      <c r="Q783" s="91"/>
      <c r="R783" s="91"/>
      <c r="S783" s="91"/>
      <c r="T783" s="91"/>
      <c r="U783" s="91"/>
      <c r="V783" s="91"/>
      <c r="W783" s="91"/>
      <c r="X783" s="91"/>
      <c r="Y783" s="91"/>
      <c r="Z783" s="91"/>
    </row>
    <row r="784" ht="24.0" customHeight="1">
      <c r="B784" s="90"/>
      <c r="C784" s="90"/>
      <c r="D784" s="90"/>
      <c r="E784" s="90"/>
      <c r="F784" s="90"/>
      <c r="G784" s="90"/>
      <c r="H784" s="90"/>
      <c r="I784" s="90"/>
      <c r="J784" s="90"/>
      <c r="K784" s="90"/>
      <c r="L784" s="90"/>
      <c r="M784" s="91"/>
      <c r="N784" s="91"/>
      <c r="O784" s="91"/>
      <c r="P784" s="91"/>
      <c r="Q784" s="91"/>
      <c r="R784" s="91"/>
      <c r="S784" s="91"/>
      <c r="T784" s="91"/>
      <c r="U784" s="91"/>
      <c r="V784" s="91"/>
      <c r="W784" s="91"/>
      <c r="X784" s="91"/>
      <c r="Y784" s="91"/>
      <c r="Z784" s="91"/>
    </row>
    <row r="785" ht="24.0" customHeight="1">
      <c r="B785" s="90"/>
      <c r="C785" s="90"/>
      <c r="D785" s="90"/>
      <c r="E785" s="90"/>
      <c r="F785" s="90"/>
      <c r="G785" s="90"/>
      <c r="H785" s="90"/>
      <c r="I785" s="90"/>
      <c r="J785" s="90"/>
      <c r="K785" s="90"/>
      <c r="L785" s="90"/>
      <c r="M785" s="91"/>
      <c r="N785" s="91"/>
      <c r="O785" s="91"/>
      <c r="P785" s="91"/>
      <c r="Q785" s="91"/>
      <c r="R785" s="91"/>
      <c r="S785" s="91"/>
      <c r="T785" s="91"/>
      <c r="U785" s="91"/>
      <c r="V785" s="91"/>
      <c r="W785" s="91"/>
      <c r="X785" s="91"/>
      <c r="Y785" s="91"/>
      <c r="Z785" s="91"/>
    </row>
    <row r="786" ht="24.0" customHeight="1">
      <c r="B786" s="90"/>
      <c r="C786" s="90"/>
      <c r="D786" s="90"/>
      <c r="E786" s="90"/>
      <c r="F786" s="90"/>
      <c r="G786" s="90"/>
      <c r="H786" s="90"/>
      <c r="I786" s="90"/>
      <c r="J786" s="90"/>
      <c r="K786" s="90"/>
      <c r="L786" s="90"/>
      <c r="M786" s="91"/>
      <c r="N786" s="91"/>
      <c r="O786" s="91"/>
      <c r="P786" s="91"/>
      <c r="Q786" s="91"/>
      <c r="R786" s="91"/>
      <c r="S786" s="91"/>
      <c r="T786" s="91"/>
      <c r="U786" s="91"/>
      <c r="V786" s="91"/>
      <c r="W786" s="91"/>
      <c r="X786" s="91"/>
      <c r="Y786" s="91"/>
      <c r="Z786" s="91"/>
    </row>
    <row r="787" ht="24.0" customHeight="1">
      <c r="B787" s="90"/>
      <c r="C787" s="90"/>
      <c r="D787" s="90"/>
      <c r="E787" s="90"/>
      <c r="F787" s="90"/>
      <c r="G787" s="90"/>
      <c r="H787" s="90"/>
      <c r="I787" s="90"/>
      <c r="J787" s="90"/>
      <c r="K787" s="90"/>
      <c r="L787" s="90"/>
      <c r="M787" s="91"/>
      <c r="N787" s="91"/>
      <c r="O787" s="91"/>
      <c r="P787" s="91"/>
      <c r="Q787" s="91"/>
      <c r="R787" s="91"/>
      <c r="S787" s="91"/>
      <c r="T787" s="91"/>
      <c r="U787" s="91"/>
      <c r="V787" s="91"/>
      <c r="W787" s="91"/>
      <c r="X787" s="91"/>
      <c r="Y787" s="91"/>
      <c r="Z787" s="91"/>
    </row>
    <row r="788" ht="24.0" customHeight="1">
      <c r="B788" s="90"/>
      <c r="C788" s="90"/>
      <c r="D788" s="90"/>
      <c r="E788" s="90"/>
      <c r="F788" s="90"/>
      <c r="G788" s="90"/>
      <c r="H788" s="90"/>
      <c r="I788" s="90"/>
      <c r="J788" s="90"/>
      <c r="K788" s="90"/>
      <c r="L788" s="90"/>
      <c r="M788" s="91"/>
      <c r="N788" s="91"/>
      <c r="O788" s="91"/>
      <c r="P788" s="91"/>
      <c r="Q788" s="91"/>
      <c r="R788" s="91"/>
      <c r="S788" s="91"/>
      <c r="T788" s="91"/>
      <c r="U788" s="91"/>
      <c r="V788" s="91"/>
      <c r="W788" s="91"/>
      <c r="X788" s="91"/>
      <c r="Y788" s="91"/>
      <c r="Z788" s="91"/>
    </row>
    <row r="789" ht="24.0" customHeight="1">
      <c r="B789" s="90"/>
      <c r="C789" s="90"/>
      <c r="D789" s="90"/>
      <c r="E789" s="90"/>
      <c r="F789" s="90"/>
      <c r="G789" s="90"/>
      <c r="H789" s="90"/>
      <c r="I789" s="90"/>
      <c r="J789" s="90"/>
      <c r="K789" s="90"/>
      <c r="L789" s="90"/>
      <c r="M789" s="91"/>
      <c r="N789" s="91"/>
      <c r="O789" s="91"/>
      <c r="P789" s="91"/>
      <c r="Q789" s="91"/>
      <c r="R789" s="91"/>
      <c r="S789" s="91"/>
      <c r="T789" s="91"/>
      <c r="U789" s="91"/>
      <c r="V789" s="91"/>
      <c r="W789" s="91"/>
      <c r="X789" s="91"/>
      <c r="Y789" s="91"/>
      <c r="Z789" s="91"/>
    </row>
    <row r="790" ht="24.0" customHeight="1">
      <c r="B790" s="90"/>
      <c r="C790" s="90"/>
      <c r="D790" s="90"/>
      <c r="E790" s="90"/>
      <c r="F790" s="90"/>
      <c r="G790" s="90"/>
      <c r="H790" s="90"/>
      <c r="I790" s="90"/>
      <c r="J790" s="90"/>
      <c r="K790" s="90"/>
      <c r="L790" s="90"/>
      <c r="M790" s="91"/>
      <c r="N790" s="91"/>
      <c r="O790" s="91"/>
      <c r="P790" s="91"/>
      <c r="Q790" s="91"/>
      <c r="R790" s="91"/>
      <c r="S790" s="91"/>
      <c r="T790" s="91"/>
      <c r="U790" s="91"/>
      <c r="V790" s="91"/>
      <c r="W790" s="91"/>
      <c r="X790" s="91"/>
      <c r="Y790" s="91"/>
      <c r="Z790" s="91"/>
    </row>
    <row r="791" ht="24.0" customHeight="1">
      <c r="B791" s="90"/>
      <c r="C791" s="90"/>
      <c r="D791" s="90"/>
      <c r="E791" s="90"/>
      <c r="F791" s="90"/>
      <c r="G791" s="90"/>
      <c r="H791" s="90"/>
      <c r="I791" s="90"/>
      <c r="J791" s="90"/>
      <c r="K791" s="90"/>
      <c r="L791" s="90"/>
      <c r="M791" s="91"/>
      <c r="N791" s="91"/>
      <c r="O791" s="91"/>
      <c r="P791" s="91"/>
      <c r="Q791" s="91"/>
      <c r="R791" s="91"/>
      <c r="S791" s="91"/>
      <c r="T791" s="91"/>
      <c r="U791" s="91"/>
      <c r="V791" s="91"/>
      <c r="W791" s="91"/>
      <c r="X791" s="91"/>
      <c r="Y791" s="91"/>
      <c r="Z791" s="91"/>
    </row>
    <row r="792" ht="24.0" customHeight="1">
      <c r="B792" s="90"/>
      <c r="C792" s="90"/>
      <c r="D792" s="90"/>
      <c r="E792" s="90"/>
      <c r="F792" s="90"/>
      <c r="G792" s="90"/>
      <c r="H792" s="90"/>
      <c r="I792" s="90"/>
      <c r="J792" s="90"/>
      <c r="K792" s="90"/>
      <c r="L792" s="90"/>
      <c r="M792" s="91"/>
      <c r="N792" s="91"/>
      <c r="O792" s="91"/>
      <c r="P792" s="91"/>
      <c r="Q792" s="91"/>
      <c r="R792" s="91"/>
      <c r="S792" s="91"/>
      <c r="T792" s="91"/>
      <c r="U792" s="91"/>
      <c r="V792" s="91"/>
      <c r="W792" s="91"/>
      <c r="X792" s="91"/>
      <c r="Y792" s="91"/>
      <c r="Z792" s="91"/>
    </row>
    <row r="793" ht="24.0" customHeight="1">
      <c r="B793" s="90"/>
      <c r="C793" s="90"/>
      <c r="D793" s="90"/>
      <c r="E793" s="90"/>
      <c r="F793" s="90"/>
      <c r="G793" s="90"/>
      <c r="H793" s="90"/>
      <c r="I793" s="90"/>
      <c r="J793" s="90"/>
      <c r="K793" s="90"/>
      <c r="L793" s="90"/>
      <c r="M793" s="91"/>
      <c r="N793" s="91"/>
      <c r="O793" s="91"/>
      <c r="P793" s="91"/>
      <c r="Q793" s="91"/>
      <c r="R793" s="91"/>
      <c r="S793" s="91"/>
      <c r="T793" s="91"/>
      <c r="U793" s="91"/>
      <c r="V793" s="91"/>
      <c r="W793" s="91"/>
      <c r="X793" s="91"/>
      <c r="Y793" s="91"/>
      <c r="Z793" s="91"/>
    </row>
    <row r="794" ht="24.0" customHeight="1">
      <c r="B794" s="90"/>
      <c r="C794" s="90"/>
      <c r="D794" s="90"/>
      <c r="E794" s="90"/>
      <c r="F794" s="90"/>
      <c r="G794" s="90"/>
      <c r="H794" s="90"/>
      <c r="I794" s="90"/>
      <c r="J794" s="90"/>
      <c r="K794" s="90"/>
      <c r="L794" s="90"/>
      <c r="M794" s="91"/>
      <c r="N794" s="91"/>
      <c r="O794" s="91"/>
      <c r="P794" s="91"/>
      <c r="Q794" s="91"/>
      <c r="R794" s="91"/>
      <c r="S794" s="91"/>
      <c r="T794" s="91"/>
      <c r="U794" s="91"/>
      <c r="V794" s="91"/>
      <c r="W794" s="91"/>
      <c r="X794" s="91"/>
      <c r="Y794" s="91"/>
      <c r="Z794" s="91"/>
    </row>
    <row r="795" ht="24.0" customHeight="1">
      <c r="B795" s="90"/>
      <c r="C795" s="90"/>
      <c r="D795" s="90"/>
      <c r="E795" s="90"/>
      <c r="F795" s="90"/>
      <c r="G795" s="90"/>
      <c r="H795" s="90"/>
      <c r="I795" s="90"/>
      <c r="J795" s="90"/>
      <c r="K795" s="90"/>
      <c r="L795" s="90"/>
      <c r="M795" s="91"/>
      <c r="N795" s="91"/>
      <c r="O795" s="91"/>
      <c r="P795" s="91"/>
      <c r="Q795" s="91"/>
      <c r="R795" s="91"/>
      <c r="S795" s="91"/>
      <c r="T795" s="91"/>
      <c r="U795" s="91"/>
      <c r="V795" s="91"/>
      <c r="W795" s="91"/>
      <c r="X795" s="91"/>
      <c r="Y795" s="91"/>
      <c r="Z795" s="91"/>
    </row>
    <row r="796" ht="24.0" customHeight="1">
      <c r="B796" s="90"/>
      <c r="C796" s="90"/>
      <c r="D796" s="90"/>
      <c r="E796" s="90"/>
      <c r="F796" s="90"/>
      <c r="G796" s="90"/>
      <c r="H796" s="90"/>
      <c r="I796" s="90"/>
      <c r="J796" s="90"/>
      <c r="K796" s="90"/>
      <c r="L796" s="90"/>
      <c r="M796" s="91"/>
      <c r="N796" s="91"/>
      <c r="O796" s="91"/>
      <c r="P796" s="91"/>
      <c r="Q796" s="91"/>
      <c r="R796" s="91"/>
      <c r="S796" s="91"/>
      <c r="T796" s="91"/>
      <c r="U796" s="91"/>
      <c r="V796" s="91"/>
      <c r="W796" s="91"/>
      <c r="X796" s="91"/>
      <c r="Y796" s="91"/>
      <c r="Z796" s="91"/>
    </row>
    <row r="797" ht="24.0" customHeight="1">
      <c r="B797" s="90"/>
      <c r="C797" s="90"/>
      <c r="D797" s="90"/>
      <c r="E797" s="90"/>
      <c r="F797" s="90"/>
      <c r="G797" s="90"/>
      <c r="H797" s="90"/>
      <c r="I797" s="90"/>
      <c r="J797" s="90"/>
      <c r="K797" s="90"/>
      <c r="L797" s="90"/>
      <c r="M797" s="91"/>
      <c r="N797" s="91"/>
      <c r="O797" s="91"/>
      <c r="P797" s="91"/>
      <c r="Q797" s="91"/>
      <c r="R797" s="91"/>
      <c r="S797" s="91"/>
      <c r="T797" s="91"/>
      <c r="U797" s="91"/>
      <c r="V797" s="91"/>
      <c r="W797" s="91"/>
      <c r="X797" s="91"/>
      <c r="Y797" s="91"/>
      <c r="Z797" s="91"/>
    </row>
    <row r="798" ht="24.0" customHeight="1">
      <c r="B798" s="90"/>
      <c r="C798" s="90"/>
      <c r="D798" s="90"/>
      <c r="E798" s="90"/>
      <c r="F798" s="90"/>
      <c r="G798" s="90"/>
      <c r="H798" s="90"/>
      <c r="I798" s="90"/>
      <c r="J798" s="90"/>
      <c r="K798" s="90"/>
      <c r="L798" s="90"/>
      <c r="M798" s="91"/>
      <c r="N798" s="91"/>
      <c r="O798" s="91"/>
      <c r="P798" s="91"/>
      <c r="Q798" s="91"/>
      <c r="R798" s="91"/>
      <c r="S798" s="91"/>
      <c r="T798" s="91"/>
      <c r="U798" s="91"/>
      <c r="V798" s="91"/>
      <c r="W798" s="91"/>
      <c r="X798" s="91"/>
      <c r="Y798" s="91"/>
      <c r="Z798" s="91"/>
    </row>
    <row r="799" ht="24.0" customHeight="1">
      <c r="B799" s="90"/>
      <c r="C799" s="90"/>
      <c r="D799" s="90"/>
      <c r="E799" s="90"/>
      <c r="F799" s="90"/>
      <c r="G799" s="90"/>
      <c r="H799" s="90"/>
      <c r="I799" s="90"/>
      <c r="J799" s="90"/>
      <c r="K799" s="90"/>
      <c r="L799" s="90"/>
      <c r="M799" s="91"/>
      <c r="N799" s="91"/>
      <c r="O799" s="91"/>
      <c r="P799" s="91"/>
      <c r="Q799" s="91"/>
      <c r="R799" s="91"/>
      <c r="S799" s="91"/>
      <c r="T799" s="91"/>
      <c r="U799" s="91"/>
      <c r="V799" s="91"/>
      <c r="W799" s="91"/>
      <c r="X799" s="91"/>
      <c r="Y799" s="91"/>
      <c r="Z799" s="91"/>
    </row>
    <row r="800" ht="24.0" customHeight="1">
      <c r="B800" s="90"/>
      <c r="C800" s="90"/>
      <c r="D800" s="90"/>
      <c r="E800" s="90"/>
      <c r="F800" s="90"/>
      <c r="G800" s="90"/>
      <c r="H800" s="90"/>
      <c r="I800" s="90"/>
      <c r="J800" s="90"/>
      <c r="K800" s="90"/>
      <c r="L800" s="90"/>
      <c r="M800" s="91"/>
      <c r="N800" s="91"/>
      <c r="O800" s="91"/>
      <c r="P800" s="91"/>
      <c r="Q800" s="91"/>
      <c r="R800" s="91"/>
      <c r="S800" s="91"/>
      <c r="T800" s="91"/>
      <c r="U800" s="91"/>
      <c r="V800" s="91"/>
      <c r="W800" s="91"/>
      <c r="X800" s="91"/>
      <c r="Y800" s="91"/>
      <c r="Z800" s="91"/>
    </row>
    <row r="801" ht="24.0" customHeight="1">
      <c r="B801" s="90"/>
      <c r="C801" s="90"/>
      <c r="D801" s="90"/>
      <c r="E801" s="90"/>
      <c r="F801" s="90"/>
      <c r="G801" s="90"/>
      <c r="H801" s="90"/>
      <c r="I801" s="90"/>
      <c r="J801" s="90"/>
      <c r="K801" s="90"/>
      <c r="L801" s="90"/>
      <c r="M801" s="91"/>
      <c r="N801" s="91"/>
      <c r="O801" s="91"/>
      <c r="P801" s="91"/>
      <c r="Q801" s="91"/>
      <c r="R801" s="91"/>
      <c r="S801" s="91"/>
      <c r="T801" s="91"/>
      <c r="U801" s="91"/>
      <c r="V801" s="91"/>
      <c r="W801" s="91"/>
      <c r="X801" s="91"/>
      <c r="Y801" s="91"/>
      <c r="Z801" s="91"/>
    </row>
    <row r="802" ht="24.0" customHeight="1">
      <c r="B802" s="90"/>
      <c r="C802" s="90"/>
      <c r="D802" s="90"/>
      <c r="E802" s="90"/>
      <c r="F802" s="90"/>
      <c r="G802" s="90"/>
      <c r="H802" s="90"/>
      <c r="I802" s="90"/>
      <c r="J802" s="90"/>
      <c r="K802" s="90"/>
      <c r="L802" s="90"/>
      <c r="M802" s="91"/>
      <c r="N802" s="91"/>
      <c r="O802" s="91"/>
      <c r="P802" s="91"/>
      <c r="Q802" s="91"/>
      <c r="R802" s="91"/>
      <c r="S802" s="91"/>
      <c r="T802" s="91"/>
      <c r="U802" s="91"/>
      <c r="V802" s="91"/>
      <c r="W802" s="91"/>
      <c r="X802" s="91"/>
      <c r="Y802" s="91"/>
      <c r="Z802" s="91"/>
    </row>
    <row r="803" ht="24.0" customHeight="1">
      <c r="B803" s="90"/>
      <c r="C803" s="90"/>
      <c r="D803" s="90"/>
      <c r="E803" s="90"/>
      <c r="F803" s="90"/>
      <c r="G803" s="90"/>
      <c r="H803" s="90"/>
      <c r="I803" s="90"/>
      <c r="J803" s="90"/>
      <c r="K803" s="90"/>
      <c r="L803" s="90"/>
      <c r="M803" s="91"/>
      <c r="N803" s="91"/>
      <c r="O803" s="91"/>
      <c r="P803" s="91"/>
      <c r="Q803" s="91"/>
      <c r="R803" s="91"/>
      <c r="S803" s="91"/>
      <c r="T803" s="91"/>
      <c r="U803" s="91"/>
      <c r="V803" s="91"/>
      <c r="W803" s="91"/>
      <c r="X803" s="91"/>
      <c r="Y803" s="91"/>
      <c r="Z803" s="91"/>
    </row>
    <row r="804" ht="24.0" customHeight="1">
      <c r="B804" s="90"/>
      <c r="C804" s="90"/>
      <c r="D804" s="90"/>
      <c r="E804" s="90"/>
      <c r="F804" s="90"/>
      <c r="G804" s="90"/>
      <c r="H804" s="90"/>
      <c r="I804" s="90"/>
      <c r="J804" s="90"/>
      <c r="K804" s="90"/>
      <c r="L804" s="90"/>
      <c r="M804" s="91"/>
      <c r="N804" s="91"/>
      <c r="O804" s="91"/>
      <c r="P804" s="91"/>
      <c r="Q804" s="91"/>
      <c r="R804" s="91"/>
      <c r="S804" s="91"/>
      <c r="T804" s="91"/>
      <c r="U804" s="91"/>
      <c r="V804" s="91"/>
      <c r="W804" s="91"/>
      <c r="X804" s="91"/>
      <c r="Y804" s="91"/>
      <c r="Z804" s="91"/>
    </row>
    <row r="805" ht="24.0" customHeight="1">
      <c r="B805" s="90"/>
      <c r="C805" s="90"/>
      <c r="D805" s="90"/>
      <c r="E805" s="90"/>
      <c r="F805" s="90"/>
      <c r="G805" s="90"/>
      <c r="H805" s="90"/>
      <c r="I805" s="90"/>
      <c r="J805" s="90"/>
      <c r="K805" s="90"/>
      <c r="L805" s="90"/>
      <c r="M805" s="91"/>
      <c r="N805" s="91"/>
      <c r="O805" s="91"/>
      <c r="P805" s="91"/>
      <c r="Q805" s="91"/>
      <c r="R805" s="91"/>
      <c r="S805" s="91"/>
      <c r="T805" s="91"/>
      <c r="U805" s="91"/>
      <c r="V805" s="91"/>
      <c r="W805" s="91"/>
      <c r="X805" s="91"/>
      <c r="Y805" s="91"/>
      <c r="Z805" s="91"/>
    </row>
    <row r="806" ht="24.0" customHeight="1">
      <c r="B806" s="90"/>
      <c r="C806" s="90"/>
      <c r="D806" s="90"/>
      <c r="E806" s="90"/>
      <c r="F806" s="90"/>
      <c r="G806" s="90"/>
      <c r="H806" s="90"/>
      <c r="I806" s="90"/>
      <c r="J806" s="90"/>
      <c r="K806" s="90"/>
      <c r="L806" s="90"/>
      <c r="M806" s="91"/>
      <c r="N806" s="91"/>
      <c r="O806" s="91"/>
      <c r="P806" s="91"/>
      <c r="Q806" s="91"/>
      <c r="R806" s="91"/>
      <c r="S806" s="91"/>
      <c r="T806" s="91"/>
      <c r="U806" s="91"/>
      <c r="V806" s="91"/>
      <c r="W806" s="91"/>
      <c r="X806" s="91"/>
      <c r="Y806" s="91"/>
      <c r="Z806" s="91"/>
    </row>
    <row r="807" ht="24.0" customHeight="1">
      <c r="B807" s="90"/>
      <c r="C807" s="90"/>
      <c r="D807" s="90"/>
      <c r="E807" s="90"/>
      <c r="F807" s="90"/>
      <c r="G807" s="90"/>
      <c r="H807" s="90"/>
      <c r="I807" s="90"/>
      <c r="J807" s="90"/>
      <c r="K807" s="90"/>
      <c r="L807" s="90"/>
      <c r="M807" s="91"/>
      <c r="N807" s="91"/>
      <c r="O807" s="91"/>
      <c r="P807" s="91"/>
      <c r="Q807" s="91"/>
      <c r="R807" s="91"/>
      <c r="S807" s="91"/>
      <c r="T807" s="91"/>
      <c r="U807" s="91"/>
      <c r="V807" s="91"/>
      <c r="W807" s="91"/>
      <c r="X807" s="91"/>
      <c r="Y807" s="91"/>
      <c r="Z807" s="91"/>
    </row>
    <row r="808" ht="24.0" customHeight="1">
      <c r="B808" s="90"/>
      <c r="C808" s="90"/>
      <c r="D808" s="90"/>
      <c r="E808" s="90"/>
      <c r="F808" s="90"/>
      <c r="G808" s="90"/>
      <c r="H808" s="90"/>
      <c r="I808" s="90"/>
      <c r="J808" s="90"/>
      <c r="K808" s="90"/>
      <c r="L808" s="90"/>
      <c r="M808" s="91"/>
      <c r="N808" s="91"/>
      <c r="O808" s="91"/>
      <c r="P808" s="91"/>
      <c r="Q808" s="91"/>
      <c r="R808" s="91"/>
      <c r="S808" s="91"/>
      <c r="T808" s="91"/>
      <c r="U808" s="91"/>
      <c r="V808" s="91"/>
      <c r="W808" s="91"/>
      <c r="X808" s="91"/>
      <c r="Y808" s="91"/>
      <c r="Z808" s="91"/>
    </row>
    <row r="809" ht="24.0" customHeight="1">
      <c r="B809" s="90"/>
      <c r="C809" s="90"/>
      <c r="D809" s="90"/>
      <c r="E809" s="90"/>
      <c r="F809" s="90"/>
      <c r="G809" s="90"/>
      <c r="H809" s="90"/>
      <c r="I809" s="90"/>
      <c r="J809" s="90"/>
      <c r="K809" s="90"/>
      <c r="L809" s="90"/>
      <c r="M809" s="91"/>
      <c r="N809" s="91"/>
      <c r="O809" s="91"/>
      <c r="P809" s="91"/>
      <c r="Q809" s="91"/>
      <c r="R809" s="91"/>
      <c r="S809" s="91"/>
      <c r="T809" s="91"/>
      <c r="U809" s="91"/>
      <c r="V809" s="91"/>
      <c r="W809" s="91"/>
      <c r="X809" s="91"/>
      <c r="Y809" s="91"/>
      <c r="Z809" s="91"/>
    </row>
    <row r="810" ht="24.0" customHeight="1">
      <c r="B810" s="90"/>
      <c r="C810" s="90"/>
      <c r="D810" s="90"/>
      <c r="E810" s="90"/>
      <c r="F810" s="90"/>
      <c r="G810" s="90"/>
      <c r="H810" s="90"/>
      <c r="I810" s="90"/>
      <c r="J810" s="90"/>
      <c r="K810" s="90"/>
      <c r="L810" s="90"/>
      <c r="M810" s="91"/>
      <c r="N810" s="91"/>
      <c r="O810" s="91"/>
      <c r="P810" s="91"/>
      <c r="Q810" s="91"/>
      <c r="R810" s="91"/>
      <c r="S810" s="91"/>
      <c r="T810" s="91"/>
      <c r="U810" s="91"/>
      <c r="V810" s="91"/>
      <c r="W810" s="91"/>
      <c r="X810" s="91"/>
      <c r="Y810" s="91"/>
      <c r="Z810" s="91"/>
    </row>
    <row r="811" ht="24.0" customHeight="1">
      <c r="B811" s="90"/>
      <c r="C811" s="90"/>
      <c r="D811" s="90"/>
      <c r="E811" s="90"/>
      <c r="F811" s="90"/>
      <c r="G811" s="90"/>
      <c r="H811" s="90"/>
      <c r="I811" s="90"/>
      <c r="J811" s="90"/>
      <c r="K811" s="90"/>
      <c r="L811" s="90"/>
      <c r="M811" s="91"/>
      <c r="N811" s="91"/>
      <c r="O811" s="91"/>
      <c r="P811" s="91"/>
      <c r="Q811" s="91"/>
      <c r="R811" s="91"/>
      <c r="S811" s="91"/>
      <c r="T811" s="91"/>
      <c r="U811" s="91"/>
      <c r="V811" s="91"/>
      <c r="W811" s="91"/>
      <c r="X811" s="91"/>
      <c r="Y811" s="91"/>
      <c r="Z811" s="91"/>
    </row>
    <row r="812" ht="24.0" customHeight="1">
      <c r="B812" s="90"/>
      <c r="C812" s="90"/>
      <c r="D812" s="90"/>
      <c r="E812" s="90"/>
      <c r="F812" s="90"/>
      <c r="G812" s="90"/>
      <c r="H812" s="90"/>
      <c r="I812" s="90"/>
      <c r="J812" s="90"/>
      <c r="K812" s="90"/>
      <c r="L812" s="90"/>
      <c r="M812" s="91"/>
      <c r="N812" s="91"/>
      <c r="O812" s="91"/>
      <c r="P812" s="91"/>
      <c r="Q812" s="91"/>
      <c r="R812" s="91"/>
      <c r="S812" s="91"/>
      <c r="T812" s="91"/>
      <c r="U812" s="91"/>
      <c r="V812" s="91"/>
      <c r="W812" s="91"/>
      <c r="X812" s="91"/>
      <c r="Y812" s="91"/>
      <c r="Z812" s="91"/>
    </row>
    <row r="813" ht="24.0" customHeight="1">
      <c r="B813" s="90"/>
      <c r="C813" s="90"/>
      <c r="D813" s="90"/>
      <c r="E813" s="90"/>
      <c r="F813" s="90"/>
      <c r="G813" s="90"/>
      <c r="H813" s="90"/>
      <c r="I813" s="90"/>
      <c r="J813" s="90"/>
      <c r="K813" s="90"/>
      <c r="L813" s="90"/>
      <c r="M813" s="91"/>
      <c r="N813" s="91"/>
      <c r="O813" s="91"/>
      <c r="P813" s="91"/>
      <c r="Q813" s="91"/>
      <c r="R813" s="91"/>
      <c r="S813" s="91"/>
      <c r="T813" s="91"/>
      <c r="U813" s="91"/>
      <c r="V813" s="91"/>
      <c r="W813" s="91"/>
      <c r="X813" s="91"/>
      <c r="Y813" s="91"/>
      <c r="Z813" s="91"/>
    </row>
    <row r="814" ht="24.0" customHeight="1">
      <c r="B814" s="90"/>
      <c r="C814" s="90"/>
      <c r="D814" s="90"/>
      <c r="E814" s="90"/>
      <c r="F814" s="90"/>
      <c r="G814" s="90"/>
      <c r="H814" s="90"/>
      <c r="I814" s="90"/>
      <c r="J814" s="90"/>
      <c r="K814" s="90"/>
      <c r="L814" s="90"/>
      <c r="M814" s="91"/>
      <c r="N814" s="91"/>
      <c r="O814" s="91"/>
      <c r="P814" s="91"/>
      <c r="Q814" s="91"/>
      <c r="R814" s="91"/>
      <c r="S814" s="91"/>
      <c r="T814" s="91"/>
      <c r="U814" s="91"/>
      <c r="V814" s="91"/>
      <c r="W814" s="91"/>
      <c r="X814" s="91"/>
      <c r="Y814" s="91"/>
      <c r="Z814" s="91"/>
    </row>
    <row r="815" ht="24.0" customHeight="1">
      <c r="B815" s="90"/>
      <c r="C815" s="90"/>
      <c r="D815" s="90"/>
      <c r="E815" s="90"/>
      <c r="F815" s="90"/>
      <c r="G815" s="90"/>
      <c r="H815" s="90"/>
      <c r="I815" s="90"/>
      <c r="J815" s="90"/>
      <c r="K815" s="90"/>
      <c r="L815" s="90"/>
      <c r="M815" s="91"/>
      <c r="N815" s="91"/>
      <c r="O815" s="91"/>
      <c r="P815" s="91"/>
      <c r="Q815" s="91"/>
      <c r="R815" s="91"/>
      <c r="S815" s="91"/>
      <c r="T815" s="91"/>
      <c r="U815" s="91"/>
      <c r="V815" s="91"/>
      <c r="W815" s="91"/>
      <c r="X815" s="91"/>
      <c r="Y815" s="91"/>
      <c r="Z815" s="91"/>
    </row>
    <row r="816" ht="24.0" customHeight="1">
      <c r="B816" s="90"/>
      <c r="C816" s="90"/>
      <c r="D816" s="90"/>
      <c r="E816" s="90"/>
      <c r="F816" s="90"/>
      <c r="G816" s="90"/>
      <c r="H816" s="90"/>
      <c r="I816" s="90"/>
      <c r="J816" s="90"/>
      <c r="K816" s="90"/>
      <c r="L816" s="90"/>
      <c r="M816" s="91"/>
      <c r="N816" s="91"/>
      <c r="O816" s="91"/>
      <c r="P816" s="91"/>
      <c r="Q816" s="91"/>
      <c r="R816" s="91"/>
      <c r="S816" s="91"/>
      <c r="T816" s="91"/>
      <c r="U816" s="91"/>
      <c r="V816" s="91"/>
      <c r="W816" s="91"/>
      <c r="X816" s="91"/>
      <c r="Y816" s="91"/>
      <c r="Z816" s="91"/>
    </row>
    <row r="817" ht="24.0" customHeight="1">
      <c r="B817" s="90"/>
      <c r="C817" s="90"/>
      <c r="D817" s="90"/>
      <c r="E817" s="90"/>
      <c r="F817" s="90"/>
      <c r="G817" s="90"/>
      <c r="H817" s="90"/>
      <c r="I817" s="90"/>
      <c r="J817" s="90"/>
      <c r="K817" s="90"/>
      <c r="L817" s="90"/>
      <c r="M817" s="91"/>
      <c r="N817" s="91"/>
      <c r="O817" s="91"/>
      <c r="P817" s="91"/>
      <c r="Q817" s="91"/>
      <c r="R817" s="91"/>
      <c r="S817" s="91"/>
      <c r="T817" s="91"/>
      <c r="U817" s="91"/>
      <c r="V817" s="91"/>
      <c r="W817" s="91"/>
      <c r="X817" s="91"/>
      <c r="Y817" s="91"/>
      <c r="Z817" s="91"/>
    </row>
    <row r="818" ht="24.0" customHeight="1">
      <c r="B818" s="90"/>
      <c r="C818" s="90"/>
      <c r="D818" s="90"/>
      <c r="E818" s="90"/>
      <c r="F818" s="90"/>
      <c r="G818" s="90"/>
      <c r="H818" s="90"/>
      <c r="I818" s="90"/>
      <c r="J818" s="90"/>
      <c r="K818" s="90"/>
      <c r="L818" s="90"/>
      <c r="M818" s="91"/>
      <c r="N818" s="91"/>
      <c r="O818" s="91"/>
      <c r="P818" s="91"/>
      <c r="Q818" s="91"/>
      <c r="R818" s="91"/>
      <c r="S818" s="91"/>
      <c r="T818" s="91"/>
      <c r="U818" s="91"/>
      <c r="V818" s="91"/>
      <c r="W818" s="91"/>
      <c r="X818" s="91"/>
      <c r="Y818" s="91"/>
      <c r="Z818" s="91"/>
    </row>
    <row r="819" ht="24.0" customHeight="1">
      <c r="B819" s="90"/>
      <c r="C819" s="90"/>
      <c r="D819" s="90"/>
      <c r="E819" s="90"/>
      <c r="F819" s="90"/>
      <c r="G819" s="90"/>
      <c r="H819" s="90"/>
      <c r="I819" s="90"/>
      <c r="J819" s="90"/>
      <c r="K819" s="90"/>
      <c r="L819" s="90"/>
      <c r="M819" s="91"/>
      <c r="N819" s="91"/>
      <c r="O819" s="91"/>
      <c r="P819" s="91"/>
      <c r="Q819" s="91"/>
      <c r="R819" s="91"/>
      <c r="S819" s="91"/>
      <c r="T819" s="91"/>
      <c r="U819" s="91"/>
      <c r="V819" s="91"/>
      <c r="W819" s="91"/>
      <c r="X819" s="91"/>
      <c r="Y819" s="91"/>
      <c r="Z819" s="91"/>
    </row>
    <row r="820" ht="24.0" customHeight="1">
      <c r="B820" s="90"/>
      <c r="C820" s="90"/>
      <c r="D820" s="90"/>
      <c r="E820" s="90"/>
      <c r="F820" s="90"/>
      <c r="G820" s="90"/>
      <c r="H820" s="90"/>
      <c r="I820" s="90"/>
      <c r="J820" s="90"/>
      <c r="K820" s="90"/>
      <c r="L820" s="90"/>
      <c r="M820" s="91"/>
      <c r="N820" s="91"/>
      <c r="O820" s="91"/>
      <c r="P820" s="91"/>
      <c r="Q820" s="91"/>
      <c r="R820" s="91"/>
      <c r="S820" s="91"/>
      <c r="T820" s="91"/>
      <c r="U820" s="91"/>
      <c r="V820" s="91"/>
      <c r="W820" s="91"/>
      <c r="X820" s="91"/>
      <c r="Y820" s="91"/>
      <c r="Z820" s="91"/>
    </row>
    <row r="821" ht="24.0" customHeight="1">
      <c r="B821" s="90"/>
      <c r="C821" s="90"/>
      <c r="D821" s="90"/>
      <c r="E821" s="90"/>
      <c r="F821" s="90"/>
      <c r="G821" s="90"/>
      <c r="H821" s="90"/>
      <c r="I821" s="90"/>
      <c r="J821" s="90"/>
      <c r="K821" s="90"/>
      <c r="L821" s="90"/>
      <c r="M821" s="91"/>
      <c r="N821" s="91"/>
      <c r="O821" s="91"/>
      <c r="P821" s="91"/>
      <c r="Q821" s="91"/>
      <c r="R821" s="91"/>
      <c r="S821" s="91"/>
      <c r="T821" s="91"/>
      <c r="U821" s="91"/>
      <c r="V821" s="91"/>
      <c r="W821" s="91"/>
      <c r="X821" s="91"/>
      <c r="Y821" s="91"/>
      <c r="Z821" s="91"/>
    </row>
    <row r="822" ht="24.0" customHeight="1">
      <c r="B822" s="90"/>
      <c r="C822" s="90"/>
      <c r="D822" s="90"/>
      <c r="E822" s="90"/>
      <c r="F822" s="90"/>
      <c r="G822" s="90"/>
      <c r="H822" s="90"/>
      <c r="I822" s="90"/>
      <c r="J822" s="90"/>
      <c r="K822" s="90"/>
      <c r="L822" s="90"/>
      <c r="M822" s="91"/>
      <c r="N822" s="91"/>
      <c r="O822" s="91"/>
      <c r="P822" s="91"/>
      <c r="Q822" s="91"/>
      <c r="R822" s="91"/>
      <c r="S822" s="91"/>
      <c r="T822" s="91"/>
      <c r="U822" s="91"/>
      <c r="V822" s="91"/>
      <c r="W822" s="91"/>
      <c r="X822" s="91"/>
      <c r="Y822" s="91"/>
      <c r="Z822" s="91"/>
    </row>
    <row r="823" ht="24.0" customHeight="1">
      <c r="B823" s="90"/>
      <c r="C823" s="90"/>
      <c r="D823" s="90"/>
      <c r="E823" s="90"/>
      <c r="F823" s="90"/>
      <c r="G823" s="90"/>
      <c r="H823" s="90"/>
      <c r="I823" s="90"/>
      <c r="J823" s="90"/>
      <c r="K823" s="90"/>
      <c r="L823" s="90"/>
      <c r="M823" s="91"/>
      <c r="N823" s="91"/>
      <c r="O823" s="91"/>
      <c r="P823" s="91"/>
      <c r="Q823" s="91"/>
      <c r="R823" s="91"/>
      <c r="S823" s="91"/>
      <c r="T823" s="91"/>
      <c r="U823" s="91"/>
      <c r="V823" s="91"/>
      <c r="W823" s="91"/>
      <c r="X823" s="91"/>
      <c r="Y823" s="91"/>
      <c r="Z823" s="91"/>
    </row>
    <row r="824" ht="24.0" customHeight="1">
      <c r="B824" s="90"/>
      <c r="C824" s="90"/>
      <c r="D824" s="90"/>
      <c r="E824" s="90"/>
      <c r="F824" s="90"/>
      <c r="G824" s="90"/>
      <c r="H824" s="90"/>
      <c r="I824" s="90"/>
      <c r="J824" s="90"/>
      <c r="K824" s="90"/>
      <c r="L824" s="90"/>
      <c r="M824" s="91"/>
      <c r="N824" s="91"/>
      <c r="O824" s="91"/>
      <c r="P824" s="91"/>
      <c r="Q824" s="91"/>
      <c r="R824" s="91"/>
      <c r="S824" s="91"/>
      <c r="T824" s="91"/>
      <c r="U824" s="91"/>
      <c r="V824" s="91"/>
      <c r="W824" s="91"/>
      <c r="X824" s="91"/>
      <c r="Y824" s="91"/>
      <c r="Z824" s="91"/>
    </row>
    <row r="825" ht="24.0" customHeight="1">
      <c r="B825" s="90"/>
      <c r="C825" s="90"/>
      <c r="D825" s="90"/>
      <c r="E825" s="90"/>
      <c r="F825" s="90"/>
      <c r="G825" s="90"/>
      <c r="H825" s="90"/>
      <c r="I825" s="90"/>
      <c r="J825" s="90"/>
      <c r="K825" s="90"/>
      <c r="L825" s="90"/>
      <c r="M825" s="91"/>
      <c r="N825" s="91"/>
      <c r="O825" s="91"/>
      <c r="P825" s="91"/>
      <c r="Q825" s="91"/>
      <c r="R825" s="91"/>
      <c r="S825" s="91"/>
      <c r="T825" s="91"/>
      <c r="U825" s="91"/>
      <c r="V825" s="91"/>
      <c r="W825" s="91"/>
      <c r="X825" s="91"/>
      <c r="Y825" s="91"/>
      <c r="Z825" s="91"/>
    </row>
    <row r="826" ht="24.0" customHeight="1">
      <c r="B826" s="90"/>
      <c r="C826" s="90"/>
      <c r="D826" s="90"/>
      <c r="E826" s="90"/>
      <c r="F826" s="90"/>
      <c r="G826" s="90"/>
      <c r="H826" s="90"/>
      <c r="I826" s="90"/>
      <c r="J826" s="90"/>
      <c r="K826" s="90"/>
      <c r="L826" s="90"/>
      <c r="M826" s="91"/>
      <c r="N826" s="91"/>
      <c r="O826" s="91"/>
      <c r="P826" s="91"/>
      <c r="Q826" s="91"/>
      <c r="R826" s="91"/>
      <c r="S826" s="91"/>
      <c r="T826" s="91"/>
      <c r="U826" s="91"/>
      <c r="V826" s="91"/>
      <c r="W826" s="91"/>
      <c r="X826" s="91"/>
      <c r="Y826" s="91"/>
      <c r="Z826" s="91"/>
    </row>
    <row r="827" ht="24.0" customHeight="1">
      <c r="B827" s="90"/>
      <c r="C827" s="90"/>
      <c r="D827" s="90"/>
      <c r="E827" s="90"/>
      <c r="F827" s="90"/>
      <c r="G827" s="90"/>
      <c r="H827" s="90"/>
      <c r="I827" s="90"/>
      <c r="J827" s="90"/>
      <c r="K827" s="90"/>
      <c r="L827" s="90"/>
      <c r="M827" s="91"/>
      <c r="N827" s="91"/>
      <c r="O827" s="91"/>
      <c r="P827" s="91"/>
      <c r="Q827" s="91"/>
      <c r="R827" s="91"/>
      <c r="S827" s="91"/>
      <c r="T827" s="91"/>
      <c r="U827" s="91"/>
      <c r="V827" s="91"/>
      <c r="W827" s="91"/>
      <c r="X827" s="91"/>
      <c r="Y827" s="91"/>
      <c r="Z827" s="91"/>
    </row>
    <row r="828" ht="24.0" customHeight="1">
      <c r="B828" s="90"/>
      <c r="C828" s="90"/>
      <c r="D828" s="90"/>
      <c r="E828" s="90"/>
      <c r="F828" s="90"/>
      <c r="G828" s="90"/>
      <c r="H828" s="90"/>
      <c r="I828" s="90"/>
      <c r="J828" s="90"/>
      <c r="K828" s="90"/>
      <c r="L828" s="90"/>
      <c r="M828" s="91"/>
      <c r="N828" s="91"/>
      <c r="O828" s="91"/>
      <c r="P828" s="91"/>
      <c r="Q828" s="91"/>
      <c r="R828" s="91"/>
      <c r="S828" s="91"/>
      <c r="T828" s="91"/>
      <c r="U828" s="91"/>
      <c r="V828" s="91"/>
      <c r="W828" s="91"/>
      <c r="X828" s="91"/>
      <c r="Y828" s="91"/>
      <c r="Z828" s="91"/>
    </row>
    <row r="829" ht="24.0" customHeight="1">
      <c r="B829" s="90"/>
      <c r="C829" s="90"/>
      <c r="D829" s="90"/>
      <c r="E829" s="90"/>
      <c r="F829" s="90"/>
      <c r="G829" s="90"/>
      <c r="H829" s="90"/>
      <c r="I829" s="90"/>
      <c r="J829" s="90"/>
      <c r="K829" s="90"/>
      <c r="L829" s="90"/>
      <c r="M829" s="91"/>
      <c r="N829" s="91"/>
      <c r="O829" s="91"/>
      <c r="P829" s="91"/>
      <c r="Q829" s="91"/>
      <c r="R829" s="91"/>
      <c r="S829" s="91"/>
      <c r="T829" s="91"/>
      <c r="U829" s="91"/>
      <c r="V829" s="91"/>
      <c r="W829" s="91"/>
      <c r="X829" s="91"/>
      <c r="Y829" s="91"/>
      <c r="Z829" s="91"/>
    </row>
    <row r="830" ht="24.0" customHeight="1">
      <c r="B830" s="90"/>
      <c r="C830" s="90"/>
      <c r="D830" s="90"/>
      <c r="E830" s="90"/>
      <c r="F830" s="90"/>
      <c r="G830" s="90"/>
      <c r="H830" s="90"/>
      <c r="I830" s="90"/>
      <c r="J830" s="90"/>
      <c r="K830" s="90"/>
      <c r="L830" s="90"/>
      <c r="M830" s="91"/>
      <c r="N830" s="91"/>
      <c r="O830" s="91"/>
      <c r="P830" s="91"/>
      <c r="Q830" s="91"/>
      <c r="R830" s="91"/>
      <c r="S830" s="91"/>
      <c r="T830" s="91"/>
      <c r="U830" s="91"/>
      <c r="V830" s="91"/>
      <c r="W830" s="91"/>
      <c r="X830" s="91"/>
      <c r="Y830" s="91"/>
      <c r="Z830" s="91"/>
    </row>
    <row r="831" ht="24.0" customHeight="1">
      <c r="B831" s="90"/>
      <c r="C831" s="90"/>
      <c r="D831" s="90"/>
      <c r="E831" s="90"/>
      <c r="F831" s="90"/>
      <c r="G831" s="90"/>
      <c r="H831" s="90"/>
      <c r="I831" s="90"/>
      <c r="J831" s="90"/>
      <c r="K831" s="90"/>
      <c r="L831" s="90"/>
      <c r="M831" s="91"/>
      <c r="N831" s="91"/>
      <c r="O831" s="91"/>
      <c r="P831" s="91"/>
      <c r="Q831" s="91"/>
      <c r="R831" s="91"/>
      <c r="S831" s="91"/>
      <c r="T831" s="91"/>
      <c r="U831" s="91"/>
      <c r="V831" s="91"/>
      <c r="W831" s="91"/>
      <c r="X831" s="91"/>
      <c r="Y831" s="91"/>
      <c r="Z831" s="91"/>
    </row>
    <row r="832" ht="24.0" customHeight="1">
      <c r="B832" s="90"/>
      <c r="C832" s="90"/>
      <c r="D832" s="90"/>
      <c r="E832" s="90"/>
      <c r="F832" s="90"/>
      <c r="G832" s="90"/>
      <c r="H832" s="90"/>
      <c r="I832" s="90"/>
      <c r="J832" s="90"/>
      <c r="K832" s="90"/>
      <c r="L832" s="90"/>
      <c r="M832" s="91"/>
      <c r="N832" s="91"/>
      <c r="O832" s="91"/>
      <c r="P832" s="91"/>
      <c r="Q832" s="91"/>
      <c r="R832" s="91"/>
      <c r="S832" s="91"/>
      <c r="T832" s="91"/>
      <c r="U832" s="91"/>
      <c r="V832" s="91"/>
      <c r="W832" s="91"/>
      <c r="X832" s="91"/>
      <c r="Y832" s="91"/>
      <c r="Z832" s="91"/>
    </row>
    <row r="833" ht="24.0" customHeight="1">
      <c r="B833" s="90"/>
      <c r="C833" s="90"/>
      <c r="D833" s="90"/>
      <c r="E833" s="90"/>
      <c r="F833" s="90"/>
      <c r="G833" s="90"/>
      <c r="H833" s="90"/>
      <c r="I833" s="90"/>
      <c r="J833" s="90"/>
      <c r="K833" s="90"/>
      <c r="L833" s="90"/>
      <c r="M833" s="91"/>
      <c r="N833" s="91"/>
      <c r="O833" s="91"/>
      <c r="P833" s="91"/>
      <c r="Q833" s="91"/>
      <c r="R833" s="91"/>
      <c r="S833" s="91"/>
      <c r="T833" s="91"/>
      <c r="U833" s="91"/>
      <c r="V833" s="91"/>
      <c r="W833" s="91"/>
      <c r="X833" s="91"/>
      <c r="Y833" s="91"/>
      <c r="Z833" s="91"/>
    </row>
    <row r="834" ht="24.0" customHeight="1">
      <c r="B834" s="90"/>
      <c r="C834" s="90"/>
      <c r="D834" s="90"/>
      <c r="E834" s="90"/>
      <c r="F834" s="90"/>
      <c r="G834" s="90"/>
      <c r="H834" s="90"/>
      <c r="I834" s="90"/>
      <c r="J834" s="90"/>
      <c r="K834" s="90"/>
      <c r="L834" s="90"/>
      <c r="M834" s="91"/>
      <c r="N834" s="91"/>
      <c r="O834" s="91"/>
      <c r="P834" s="91"/>
      <c r="Q834" s="91"/>
      <c r="R834" s="91"/>
      <c r="S834" s="91"/>
      <c r="T834" s="91"/>
      <c r="U834" s="91"/>
      <c r="V834" s="91"/>
      <c r="W834" s="91"/>
      <c r="X834" s="91"/>
      <c r="Y834" s="91"/>
      <c r="Z834" s="91"/>
    </row>
    <row r="835" ht="24.0" customHeight="1">
      <c r="B835" s="90"/>
      <c r="C835" s="90"/>
      <c r="D835" s="90"/>
      <c r="E835" s="90"/>
      <c r="F835" s="90"/>
      <c r="G835" s="90"/>
      <c r="H835" s="90"/>
      <c r="I835" s="90"/>
      <c r="J835" s="90"/>
      <c r="K835" s="90"/>
      <c r="L835" s="90"/>
      <c r="M835" s="91"/>
      <c r="N835" s="91"/>
      <c r="O835" s="91"/>
      <c r="P835" s="91"/>
      <c r="Q835" s="91"/>
      <c r="R835" s="91"/>
      <c r="S835" s="91"/>
      <c r="T835" s="91"/>
      <c r="U835" s="91"/>
      <c r="V835" s="91"/>
      <c r="W835" s="91"/>
      <c r="X835" s="91"/>
      <c r="Y835" s="91"/>
      <c r="Z835" s="91"/>
    </row>
    <row r="836" ht="24.0" customHeight="1">
      <c r="B836" s="90"/>
      <c r="C836" s="90"/>
      <c r="D836" s="90"/>
      <c r="E836" s="90"/>
      <c r="F836" s="90"/>
      <c r="G836" s="90"/>
      <c r="H836" s="90"/>
      <c r="I836" s="90"/>
      <c r="J836" s="90"/>
      <c r="K836" s="90"/>
      <c r="L836" s="90"/>
      <c r="M836" s="91"/>
      <c r="N836" s="91"/>
      <c r="O836" s="91"/>
      <c r="P836" s="91"/>
      <c r="Q836" s="91"/>
      <c r="R836" s="91"/>
      <c r="S836" s="91"/>
      <c r="T836" s="91"/>
      <c r="U836" s="91"/>
      <c r="V836" s="91"/>
      <c r="W836" s="91"/>
      <c r="X836" s="91"/>
      <c r="Y836" s="91"/>
      <c r="Z836" s="91"/>
    </row>
    <row r="837" ht="24.0" customHeight="1">
      <c r="B837" s="90"/>
      <c r="C837" s="90"/>
      <c r="D837" s="90"/>
      <c r="E837" s="90"/>
      <c r="F837" s="90"/>
      <c r="G837" s="90"/>
      <c r="H837" s="90"/>
      <c r="I837" s="90"/>
      <c r="J837" s="90"/>
      <c r="K837" s="90"/>
      <c r="L837" s="90"/>
      <c r="M837" s="91"/>
      <c r="N837" s="91"/>
      <c r="O837" s="91"/>
      <c r="P837" s="91"/>
      <c r="Q837" s="91"/>
      <c r="R837" s="91"/>
      <c r="S837" s="91"/>
      <c r="T837" s="91"/>
      <c r="U837" s="91"/>
      <c r="V837" s="91"/>
      <c r="W837" s="91"/>
      <c r="X837" s="91"/>
      <c r="Y837" s="91"/>
      <c r="Z837" s="91"/>
    </row>
    <row r="838" ht="24.0" customHeight="1">
      <c r="B838" s="90"/>
      <c r="C838" s="90"/>
      <c r="D838" s="90"/>
      <c r="E838" s="90"/>
      <c r="F838" s="90"/>
      <c r="G838" s="90"/>
      <c r="H838" s="90"/>
      <c r="I838" s="90"/>
      <c r="J838" s="90"/>
      <c r="K838" s="90"/>
      <c r="L838" s="90"/>
      <c r="M838" s="91"/>
      <c r="N838" s="91"/>
      <c r="O838" s="91"/>
      <c r="P838" s="91"/>
      <c r="Q838" s="91"/>
      <c r="R838" s="91"/>
      <c r="S838" s="91"/>
      <c r="T838" s="91"/>
      <c r="U838" s="91"/>
      <c r="V838" s="91"/>
      <c r="W838" s="91"/>
      <c r="X838" s="91"/>
      <c r="Y838" s="91"/>
      <c r="Z838" s="91"/>
    </row>
    <row r="839" ht="24.0" customHeight="1">
      <c r="B839" s="90"/>
      <c r="C839" s="90"/>
      <c r="D839" s="90"/>
      <c r="E839" s="90"/>
      <c r="F839" s="90"/>
      <c r="G839" s="90"/>
      <c r="H839" s="90"/>
      <c r="I839" s="90"/>
      <c r="J839" s="90"/>
      <c r="K839" s="90"/>
      <c r="L839" s="90"/>
      <c r="M839" s="91"/>
      <c r="N839" s="91"/>
      <c r="O839" s="91"/>
      <c r="P839" s="91"/>
      <c r="Q839" s="91"/>
      <c r="R839" s="91"/>
      <c r="S839" s="91"/>
      <c r="T839" s="91"/>
      <c r="U839" s="91"/>
      <c r="V839" s="91"/>
      <c r="W839" s="91"/>
      <c r="X839" s="91"/>
      <c r="Y839" s="91"/>
      <c r="Z839" s="91"/>
    </row>
    <row r="840" ht="24.0" customHeight="1">
      <c r="B840" s="90"/>
      <c r="C840" s="90"/>
      <c r="D840" s="90"/>
      <c r="E840" s="90"/>
      <c r="F840" s="90"/>
      <c r="G840" s="90"/>
      <c r="H840" s="90"/>
      <c r="I840" s="90"/>
      <c r="J840" s="90"/>
      <c r="K840" s="90"/>
      <c r="L840" s="90"/>
      <c r="M840" s="91"/>
      <c r="N840" s="91"/>
      <c r="O840" s="91"/>
      <c r="P840" s="91"/>
      <c r="Q840" s="91"/>
      <c r="R840" s="91"/>
      <c r="S840" s="91"/>
      <c r="T840" s="91"/>
      <c r="U840" s="91"/>
      <c r="V840" s="91"/>
      <c r="W840" s="91"/>
      <c r="X840" s="91"/>
      <c r="Y840" s="91"/>
      <c r="Z840" s="91"/>
    </row>
    <row r="841" ht="24.0" customHeight="1">
      <c r="B841" s="90"/>
      <c r="C841" s="90"/>
      <c r="D841" s="90"/>
      <c r="E841" s="90"/>
      <c r="F841" s="90"/>
      <c r="G841" s="90"/>
      <c r="H841" s="90"/>
      <c r="I841" s="90"/>
      <c r="J841" s="90"/>
      <c r="K841" s="90"/>
      <c r="L841" s="90"/>
      <c r="M841" s="91"/>
      <c r="N841" s="91"/>
      <c r="O841" s="91"/>
      <c r="P841" s="91"/>
      <c r="Q841" s="91"/>
      <c r="R841" s="91"/>
      <c r="S841" s="91"/>
      <c r="T841" s="91"/>
      <c r="U841" s="91"/>
      <c r="V841" s="91"/>
      <c r="W841" s="91"/>
      <c r="X841" s="91"/>
      <c r="Y841" s="91"/>
      <c r="Z841" s="91"/>
    </row>
    <row r="842" ht="24.0" customHeight="1">
      <c r="B842" s="90"/>
      <c r="C842" s="90"/>
      <c r="D842" s="90"/>
      <c r="E842" s="90"/>
      <c r="F842" s="90"/>
      <c r="G842" s="90"/>
      <c r="H842" s="90"/>
      <c r="I842" s="90"/>
      <c r="J842" s="90"/>
      <c r="K842" s="90"/>
      <c r="L842" s="90"/>
      <c r="M842" s="91"/>
      <c r="N842" s="91"/>
      <c r="O842" s="91"/>
      <c r="P842" s="91"/>
      <c r="Q842" s="91"/>
      <c r="R842" s="91"/>
      <c r="S842" s="91"/>
      <c r="T842" s="91"/>
      <c r="U842" s="91"/>
      <c r="V842" s="91"/>
      <c r="W842" s="91"/>
      <c r="X842" s="91"/>
      <c r="Y842" s="91"/>
      <c r="Z842" s="91"/>
    </row>
    <row r="843" ht="24.0" customHeight="1">
      <c r="B843" s="90"/>
      <c r="C843" s="90"/>
      <c r="D843" s="90"/>
      <c r="E843" s="90"/>
      <c r="F843" s="90"/>
      <c r="G843" s="90"/>
      <c r="H843" s="90"/>
      <c r="I843" s="90"/>
      <c r="J843" s="90"/>
      <c r="K843" s="90"/>
      <c r="L843" s="90"/>
      <c r="M843" s="91"/>
      <c r="N843" s="91"/>
      <c r="O843" s="91"/>
      <c r="P843" s="91"/>
      <c r="Q843" s="91"/>
      <c r="R843" s="91"/>
      <c r="S843" s="91"/>
      <c r="T843" s="91"/>
      <c r="U843" s="91"/>
      <c r="V843" s="91"/>
      <c r="W843" s="91"/>
      <c r="X843" s="91"/>
      <c r="Y843" s="91"/>
      <c r="Z843" s="91"/>
    </row>
    <row r="844" ht="24.0" customHeight="1">
      <c r="B844" s="90"/>
      <c r="C844" s="90"/>
      <c r="D844" s="90"/>
      <c r="E844" s="90"/>
      <c r="F844" s="90"/>
      <c r="G844" s="90"/>
      <c r="H844" s="90"/>
      <c r="I844" s="90"/>
      <c r="J844" s="90"/>
      <c r="K844" s="90"/>
      <c r="L844" s="90"/>
      <c r="M844" s="91"/>
      <c r="N844" s="91"/>
      <c r="O844" s="91"/>
      <c r="P844" s="91"/>
      <c r="Q844" s="91"/>
      <c r="R844" s="91"/>
      <c r="S844" s="91"/>
      <c r="T844" s="91"/>
      <c r="U844" s="91"/>
      <c r="V844" s="91"/>
      <c r="W844" s="91"/>
      <c r="X844" s="91"/>
      <c r="Y844" s="91"/>
      <c r="Z844" s="91"/>
    </row>
    <row r="845" ht="24.0" customHeight="1">
      <c r="B845" s="90"/>
      <c r="C845" s="90"/>
      <c r="D845" s="90"/>
      <c r="E845" s="90"/>
      <c r="F845" s="90"/>
      <c r="G845" s="90"/>
      <c r="H845" s="90"/>
      <c r="I845" s="90"/>
      <c r="J845" s="90"/>
      <c r="K845" s="90"/>
      <c r="L845" s="90"/>
      <c r="M845" s="91"/>
      <c r="N845" s="91"/>
      <c r="O845" s="91"/>
      <c r="P845" s="91"/>
      <c r="Q845" s="91"/>
      <c r="R845" s="91"/>
      <c r="S845" s="91"/>
      <c r="T845" s="91"/>
      <c r="U845" s="91"/>
      <c r="V845" s="91"/>
      <c r="W845" s="91"/>
      <c r="X845" s="91"/>
      <c r="Y845" s="91"/>
      <c r="Z845" s="91"/>
    </row>
    <row r="846" ht="24.0" customHeight="1">
      <c r="B846" s="90"/>
      <c r="C846" s="90"/>
      <c r="D846" s="90"/>
      <c r="E846" s="90"/>
      <c r="F846" s="90"/>
      <c r="G846" s="90"/>
      <c r="H846" s="90"/>
      <c r="I846" s="90"/>
      <c r="J846" s="90"/>
      <c r="K846" s="90"/>
      <c r="L846" s="90"/>
      <c r="M846" s="91"/>
      <c r="N846" s="91"/>
      <c r="O846" s="91"/>
      <c r="P846" s="91"/>
      <c r="Q846" s="91"/>
      <c r="R846" s="91"/>
      <c r="S846" s="91"/>
      <c r="T846" s="91"/>
      <c r="U846" s="91"/>
      <c r="V846" s="91"/>
      <c r="W846" s="91"/>
      <c r="X846" s="91"/>
      <c r="Y846" s="91"/>
      <c r="Z846" s="91"/>
    </row>
    <row r="847" ht="24.0" customHeight="1">
      <c r="B847" s="90"/>
      <c r="C847" s="90"/>
      <c r="D847" s="90"/>
      <c r="E847" s="90"/>
      <c r="F847" s="90"/>
      <c r="G847" s="90"/>
      <c r="H847" s="90"/>
      <c r="I847" s="90"/>
      <c r="J847" s="90"/>
      <c r="K847" s="90"/>
      <c r="L847" s="90"/>
      <c r="M847" s="91"/>
      <c r="N847" s="91"/>
      <c r="O847" s="91"/>
      <c r="P847" s="91"/>
      <c r="Q847" s="91"/>
      <c r="R847" s="91"/>
      <c r="S847" s="91"/>
      <c r="T847" s="91"/>
      <c r="U847" s="91"/>
      <c r="V847" s="91"/>
      <c r="W847" s="91"/>
      <c r="X847" s="91"/>
      <c r="Y847" s="91"/>
      <c r="Z847" s="91"/>
    </row>
    <row r="848" ht="24.0" customHeight="1">
      <c r="B848" s="90"/>
      <c r="C848" s="90"/>
      <c r="D848" s="90"/>
      <c r="E848" s="90"/>
      <c r="F848" s="90"/>
      <c r="G848" s="90"/>
      <c r="H848" s="90"/>
      <c r="I848" s="90"/>
      <c r="J848" s="90"/>
      <c r="K848" s="90"/>
      <c r="L848" s="90"/>
      <c r="M848" s="91"/>
      <c r="N848" s="91"/>
      <c r="O848" s="91"/>
      <c r="P848" s="91"/>
      <c r="Q848" s="91"/>
      <c r="R848" s="91"/>
      <c r="S848" s="91"/>
      <c r="T848" s="91"/>
      <c r="U848" s="91"/>
      <c r="V848" s="91"/>
      <c r="W848" s="91"/>
      <c r="X848" s="91"/>
      <c r="Y848" s="91"/>
      <c r="Z848" s="91"/>
    </row>
    <row r="849" ht="24.0" customHeight="1">
      <c r="B849" s="90"/>
      <c r="C849" s="90"/>
      <c r="D849" s="90"/>
      <c r="E849" s="90"/>
      <c r="F849" s="90"/>
      <c r="G849" s="90"/>
      <c r="H849" s="90"/>
      <c r="I849" s="90"/>
      <c r="J849" s="90"/>
      <c r="K849" s="90"/>
      <c r="L849" s="90"/>
      <c r="M849" s="91"/>
      <c r="N849" s="91"/>
      <c r="O849" s="91"/>
      <c r="P849" s="91"/>
      <c r="Q849" s="91"/>
      <c r="R849" s="91"/>
      <c r="S849" s="91"/>
      <c r="T849" s="91"/>
      <c r="U849" s="91"/>
      <c r="V849" s="91"/>
      <c r="W849" s="91"/>
      <c r="X849" s="91"/>
      <c r="Y849" s="91"/>
      <c r="Z849" s="91"/>
    </row>
    <row r="850" ht="24.0" customHeight="1">
      <c r="B850" s="90"/>
      <c r="C850" s="90"/>
      <c r="D850" s="90"/>
      <c r="E850" s="90"/>
      <c r="F850" s="90"/>
      <c r="G850" s="90"/>
      <c r="H850" s="90"/>
      <c r="I850" s="90"/>
      <c r="J850" s="90"/>
      <c r="K850" s="90"/>
      <c r="L850" s="90"/>
      <c r="M850" s="91"/>
      <c r="N850" s="91"/>
      <c r="O850" s="91"/>
      <c r="P850" s="91"/>
      <c r="Q850" s="91"/>
      <c r="R850" s="91"/>
      <c r="S850" s="91"/>
      <c r="T850" s="91"/>
      <c r="U850" s="91"/>
      <c r="V850" s="91"/>
      <c r="W850" s="91"/>
      <c r="X850" s="91"/>
      <c r="Y850" s="91"/>
      <c r="Z850" s="91"/>
    </row>
    <row r="851" ht="24.0" customHeight="1">
      <c r="B851" s="90"/>
      <c r="C851" s="90"/>
      <c r="D851" s="90"/>
      <c r="E851" s="90"/>
      <c r="F851" s="90"/>
      <c r="G851" s="90"/>
      <c r="H851" s="90"/>
      <c r="I851" s="90"/>
      <c r="J851" s="90"/>
      <c r="K851" s="90"/>
      <c r="L851" s="90"/>
      <c r="M851" s="91"/>
      <c r="N851" s="91"/>
      <c r="O851" s="91"/>
      <c r="P851" s="91"/>
      <c r="Q851" s="91"/>
      <c r="R851" s="91"/>
      <c r="S851" s="91"/>
      <c r="T851" s="91"/>
      <c r="U851" s="91"/>
      <c r="V851" s="91"/>
      <c r="W851" s="91"/>
      <c r="X851" s="91"/>
      <c r="Y851" s="91"/>
      <c r="Z851" s="91"/>
    </row>
    <row r="852" ht="24.0" customHeight="1">
      <c r="B852" s="90"/>
      <c r="C852" s="90"/>
      <c r="D852" s="90"/>
      <c r="E852" s="90"/>
      <c r="F852" s="90"/>
      <c r="G852" s="90"/>
      <c r="H852" s="90"/>
      <c r="I852" s="90"/>
      <c r="J852" s="90"/>
      <c r="K852" s="90"/>
      <c r="L852" s="90"/>
      <c r="M852" s="91"/>
      <c r="N852" s="91"/>
      <c r="O852" s="91"/>
      <c r="P852" s="91"/>
      <c r="Q852" s="91"/>
      <c r="R852" s="91"/>
      <c r="S852" s="91"/>
      <c r="T852" s="91"/>
      <c r="U852" s="91"/>
      <c r="V852" s="91"/>
      <c r="W852" s="91"/>
      <c r="X852" s="91"/>
      <c r="Y852" s="91"/>
      <c r="Z852" s="91"/>
    </row>
    <row r="853" ht="24.0" customHeight="1">
      <c r="B853" s="90"/>
      <c r="C853" s="90"/>
      <c r="D853" s="90"/>
      <c r="E853" s="90"/>
      <c r="F853" s="90"/>
      <c r="G853" s="90"/>
      <c r="H853" s="90"/>
      <c r="I853" s="90"/>
      <c r="J853" s="90"/>
      <c r="K853" s="90"/>
      <c r="L853" s="90"/>
      <c r="M853" s="91"/>
      <c r="N853" s="91"/>
      <c r="O853" s="91"/>
      <c r="P853" s="91"/>
      <c r="Q853" s="91"/>
      <c r="R853" s="91"/>
      <c r="S853" s="91"/>
      <c r="T853" s="91"/>
      <c r="U853" s="91"/>
      <c r="V853" s="91"/>
      <c r="W853" s="91"/>
      <c r="X853" s="91"/>
      <c r="Y853" s="91"/>
      <c r="Z853" s="91"/>
    </row>
    <row r="854" ht="24.0" customHeight="1">
      <c r="B854" s="90"/>
      <c r="C854" s="90"/>
      <c r="D854" s="90"/>
      <c r="E854" s="90"/>
      <c r="F854" s="90"/>
      <c r="G854" s="90"/>
      <c r="H854" s="90"/>
      <c r="I854" s="90"/>
      <c r="J854" s="90"/>
      <c r="K854" s="90"/>
      <c r="L854" s="90"/>
      <c r="M854" s="91"/>
      <c r="N854" s="91"/>
      <c r="O854" s="91"/>
      <c r="P854" s="91"/>
      <c r="Q854" s="91"/>
      <c r="R854" s="91"/>
      <c r="S854" s="91"/>
      <c r="T854" s="91"/>
      <c r="U854" s="91"/>
      <c r="V854" s="91"/>
      <c r="W854" s="91"/>
      <c r="X854" s="91"/>
      <c r="Y854" s="91"/>
      <c r="Z854" s="91"/>
    </row>
    <row r="855" ht="24.0" customHeight="1">
      <c r="B855" s="90"/>
      <c r="C855" s="90"/>
      <c r="D855" s="90"/>
      <c r="E855" s="90"/>
      <c r="F855" s="90"/>
      <c r="G855" s="90"/>
      <c r="H855" s="90"/>
      <c r="I855" s="90"/>
      <c r="J855" s="90"/>
      <c r="K855" s="90"/>
      <c r="L855" s="90"/>
      <c r="M855" s="91"/>
      <c r="N855" s="91"/>
      <c r="O855" s="91"/>
      <c r="P855" s="91"/>
      <c r="Q855" s="91"/>
      <c r="R855" s="91"/>
      <c r="S855" s="91"/>
      <c r="T855" s="91"/>
      <c r="U855" s="91"/>
      <c r="V855" s="91"/>
      <c r="W855" s="91"/>
      <c r="X855" s="91"/>
      <c r="Y855" s="91"/>
      <c r="Z855" s="91"/>
    </row>
    <row r="856" ht="24.0" customHeight="1">
      <c r="B856" s="90"/>
      <c r="C856" s="90"/>
      <c r="D856" s="90"/>
      <c r="E856" s="90"/>
      <c r="F856" s="90"/>
      <c r="G856" s="90"/>
      <c r="H856" s="90"/>
      <c r="I856" s="90"/>
      <c r="J856" s="90"/>
      <c r="K856" s="90"/>
      <c r="L856" s="90"/>
      <c r="M856" s="91"/>
      <c r="N856" s="91"/>
      <c r="O856" s="91"/>
      <c r="P856" s="91"/>
      <c r="Q856" s="91"/>
      <c r="R856" s="91"/>
      <c r="S856" s="91"/>
      <c r="T856" s="91"/>
      <c r="U856" s="91"/>
      <c r="V856" s="91"/>
      <c r="W856" s="91"/>
      <c r="X856" s="91"/>
      <c r="Y856" s="91"/>
      <c r="Z856" s="91"/>
    </row>
    <row r="857" ht="24.0" customHeight="1">
      <c r="B857" s="90"/>
      <c r="C857" s="90"/>
      <c r="D857" s="90"/>
      <c r="E857" s="90"/>
      <c r="F857" s="90"/>
      <c r="G857" s="90"/>
      <c r="H857" s="90"/>
      <c r="I857" s="90"/>
      <c r="J857" s="90"/>
      <c r="K857" s="90"/>
      <c r="L857" s="90"/>
      <c r="M857" s="91"/>
      <c r="N857" s="91"/>
      <c r="O857" s="91"/>
      <c r="P857" s="91"/>
      <c r="Q857" s="91"/>
      <c r="R857" s="91"/>
      <c r="S857" s="91"/>
      <c r="T857" s="91"/>
      <c r="U857" s="91"/>
      <c r="V857" s="91"/>
      <c r="W857" s="91"/>
      <c r="X857" s="91"/>
      <c r="Y857" s="91"/>
      <c r="Z857" s="91"/>
    </row>
    <row r="858" ht="24.0" customHeight="1">
      <c r="B858" s="90"/>
      <c r="C858" s="90"/>
      <c r="D858" s="90"/>
      <c r="E858" s="90"/>
      <c r="F858" s="90"/>
      <c r="G858" s="90"/>
      <c r="H858" s="90"/>
      <c r="I858" s="90"/>
      <c r="J858" s="90"/>
      <c r="K858" s="90"/>
      <c r="L858" s="90"/>
      <c r="M858" s="91"/>
      <c r="N858" s="91"/>
      <c r="O858" s="91"/>
      <c r="P858" s="91"/>
      <c r="Q858" s="91"/>
      <c r="R858" s="91"/>
      <c r="S858" s="91"/>
      <c r="T858" s="91"/>
      <c r="U858" s="91"/>
      <c r="V858" s="91"/>
      <c r="W858" s="91"/>
      <c r="X858" s="91"/>
      <c r="Y858" s="91"/>
      <c r="Z858" s="91"/>
    </row>
    <row r="859" ht="24.0" customHeight="1">
      <c r="B859" s="90"/>
      <c r="C859" s="90"/>
      <c r="D859" s="90"/>
      <c r="E859" s="90"/>
      <c r="F859" s="90"/>
      <c r="G859" s="90"/>
      <c r="H859" s="90"/>
      <c r="I859" s="90"/>
      <c r="J859" s="90"/>
      <c r="K859" s="90"/>
      <c r="L859" s="90"/>
      <c r="M859" s="91"/>
      <c r="N859" s="91"/>
      <c r="O859" s="91"/>
      <c r="P859" s="91"/>
      <c r="Q859" s="91"/>
      <c r="R859" s="91"/>
      <c r="S859" s="91"/>
      <c r="T859" s="91"/>
      <c r="U859" s="91"/>
      <c r="V859" s="91"/>
      <c r="W859" s="91"/>
      <c r="X859" s="91"/>
      <c r="Y859" s="91"/>
      <c r="Z859" s="91"/>
    </row>
    <row r="860" ht="24.0" customHeight="1">
      <c r="B860" s="90"/>
      <c r="C860" s="90"/>
      <c r="D860" s="90"/>
      <c r="E860" s="90"/>
      <c r="F860" s="90"/>
      <c r="G860" s="90"/>
      <c r="H860" s="90"/>
      <c r="I860" s="90"/>
      <c r="J860" s="90"/>
      <c r="K860" s="90"/>
      <c r="L860" s="90"/>
      <c r="M860" s="91"/>
      <c r="N860" s="91"/>
      <c r="O860" s="91"/>
      <c r="P860" s="91"/>
      <c r="Q860" s="91"/>
      <c r="R860" s="91"/>
      <c r="S860" s="91"/>
      <c r="T860" s="91"/>
      <c r="U860" s="91"/>
      <c r="V860" s="91"/>
      <c r="W860" s="91"/>
      <c r="X860" s="91"/>
      <c r="Y860" s="91"/>
      <c r="Z860" s="91"/>
    </row>
    <row r="861" ht="24.0" customHeight="1">
      <c r="B861" s="90"/>
      <c r="C861" s="90"/>
      <c r="D861" s="90"/>
      <c r="E861" s="90"/>
      <c r="F861" s="90"/>
      <c r="G861" s="90"/>
      <c r="H861" s="90"/>
      <c r="I861" s="90"/>
      <c r="J861" s="90"/>
      <c r="K861" s="90"/>
      <c r="L861" s="90"/>
      <c r="M861" s="91"/>
      <c r="N861" s="91"/>
      <c r="O861" s="91"/>
      <c r="P861" s="91"/>
      <c r="Q861" s="91"/>
      <c r="R861" s="91"/>
      <c r="S861" s="91"/>
      <c r="T861" s="91"/>
      <c r="U861" s="91"/>
      <c r="V861" s="91"/>
      <c r="W861" s="91"/>
      <c r="X861" s="91"/>
      <c r="Y861" s="91"/>
      <c r="Z861" s="91"/>
    </row>
    <row r="862" ht="24.0" customHeight="1">
      <c r="B862" s="90"/>
      <c r="C862" s="90"/>
      <c r="D862" s="90"/>
      <c r="E862" s="90"/>
      <c r="F862" s="90"/>
      <c r="G862" s="90"/>
      <c r="H862" s="90"/>
      <c r="I862" s="90"/>
      <c r="J862" s="90"/>
      <c r="K862" s="90"/>
      <c r="L862" s="90"/>
      <c r="M862" s="91"/>
      <c r="N862" s="91"/>
      <c r="O862" s="91"/>
      <c r="P862" s="91"/>
      <c r="Q862" s="91"/>
      <c r="R862" s="91"/>
      <c r="S862" s="91"/>
      <c r="T862" s="91"/>
      <c r="U862" s="91"/>
      <c r="V862" s="91"/>
      <c r="W862" s="91"/>
      <c r="X862" s="91"/>
      <c r="Y862" s="91"/>
      <c r="Z862" s="91"/>
    </row>
    <row r="863" ht="24.0" customHeight="1">
      <c r="B863" s="90"/>
      <c r="C863" s="90"/>
      <c r="D863" s="90"/>
      <c r="E863" s="90"/>
      <c r="F863" s="90"/>
      <c r="G863" s="90"/>
      <c r="H863" s="90"/>
      <c r="I863" s="90"/>
      <c r="J863" s="90"/>
      <c r="K863" s="90"/>
      <c r="L863" s="90"/>
      <c r="M863" s="91"/>
      <c r="N863" s="91"/>
      <c r="O863" s="91"/>
      <c r="P863" s="91"/>
      <c r="Q863" s="91"/>
      <c r="R863" s="91"/>
      <c r="S863" s="91"/>
      <c r="T863" s="91"/>
      <c r="U863" s="91"/>
      <c r="V863" s="91"/>
      <c r="W863" s="91"/>
      <c r="X863" s="91"/>
      <c r="Y863" s="91"/>
      <c r="Z863" s="91"/>
    </row>
    <row r="864" ht="24.0" customHeight="1">
      <c r="B864" s="90"/>
      <c r="C864" s="90"/>
      <c r="D864" s="90"/>
      <c r="E864" s="90"/>
      <c r="F864" s="90"/>
      <c r="G864" s="90"/>
      <c r="H864" s="90"/>
      <c r="I864" s="90"/>
      <c r="J864" s="90"/>
      <c r="K864" s="90"/>
      <c r="L864" s="90"/>
      <c r="M864" s="91"/>
      <c r="N864" s="91"/>
      <c r="O864" s="91"/>
      <c r="P864" s="91"/>
      <c r="Q864" s="91"/>
      <c r="R864" s="91"/>
      <c r="S864" s="91"/>
      <c r="T864" s="91"/>
      <c r="U864" s="91"/>
      <c r="V864" s="91"/>
      <c r="W864" s="91"/>
      <c r="X864" s="91"/>
      <c r="Y864" s="91"/>
      <c r="Z864" s="91"/>
    </row>
    <row r="865" ht="24.0" customHeight="1">
      <c r="B865" s="90"/>
      <c r="C865" s="90"/>
      <c r="D865" s="90"/>
      <c r="E865" s="90"/>
      <c r="F865" s="90"/>
      <c r="G865" s="90"/>
      <c r="H865" s="90"/>
      <c r="I865" s="90"/>
      <c r="J865" s="90"/>
      <c r="K865" s="90"/>
      <c r="L865" s="90"/>
      <c r="M865" s="91"/>
      <c r="N865" s="91"/>
      <c r="O865" s="91"/>
      <c r="P865" s="91"/>
      <c r="Q865" s="91"/>
      <c r="R865" s="91"/>
      <c r="S865" s="91"/>
      <c r="T865" s="91"/>
      <c r="U865" s="91"/>
      <c r="V865" s="91"/>
      <c r="W865" s="91"/>
      <c r="X865" s="91"/>
      <c r="Y865" s="91"/>
      <c r="Z865" s="91"/>
    </row>
    <row r="866" ht="24.0" customHeight="1">
      <c r="B866" s="90"/>
      <c r="C866" s="90"/>
      <c r="D866" s="90"/>
      <c r="E866" s="90"/>
      <c r="F866" s="90"/>
      <c r="G866" s="90"/>
      <c r="H866" s="90"/>
      <c r="I866" s="90"/>
      <c r="J866" s="90"/>
      <c r="K866" s="90"/>
      <c r="L866" s="90"/>
      <c r="M866" s="91"/>
      <c r="N866" s="91"/>
      <c r="O866" s="91"/>
      <c r="P866" s="91"/>
      <c r="Q866" s="91"/>
      <c r="R866" s="91"/>
      <c r="S866" s="91"/>
      <c r="T866" s="91"/>
      <c r="U866" s="91"/>
      <c r="V866" s="91"/>
      <c r="W866" s="91"/>
      <c r="X866" s="91"/>
      <c r="Y866" s="91"/>
      <c r="Z866" s="91"/>
    </row>
    <row r="867" ht="24.0" customHeight="1">
      <c r="B867" s="90"/>
      <c r="C867" s="90"/>
      <c r="D867" s="90"/>
      <c r="E867" s="90"/>
      <c r="F867" s="90"/>
      <c r="G867" s="90"/>
      <c r="H867" s="90"/>
      <c r="I867" s="90"/>
      <c r="J867" s="90"/>
      <c r="K867" s="90"/>
      <c r="L867" s="90"/>
      <c r="M867" s="91"/>
      <c r="N867" s="91"/>
      <c r="O867" s="91"/>
      <c r="P867" s="91"/>
      <c r="Q867" s="91"/>
      <c r="R867" s="91"/>
      <c r="S867" s="91"/>
      <c r="T867" s="91"/>
      <c r="U867" s="91"/>
      <c r="V867" s="91"/>
      <c r="W867" s="91"/>
      <c r="X867" s="91"/>
      <c r="Y867" s="91"/>
      <c r="Z867" s="91"/>
    </row>
    <row r="868" ht="24.0" customHeight="1">
      <c r="B868" s="90"/>
      <c r="C868" s="90"/>
      <c r="D868" s="90"/>
      <c r="E868" s="90"/>
      <c r="F868" s="90"/>
      <c r="G868" s="90"/>
      <c r="H868" s="90"/>
      <c r="I868" s="90"/>
      <c r="J868" s="90"/>
      <c r="K868" s="90"/>
      <c r="L868" s="90"/>
      <c r="M868" s="91"/>
      <c r="N868" s="91"/>
      <c r="O868" s="91"/>
      <c r="P868" s="91"/>
      <c r="Q868" s="91"/>
      <c r="R868" s="91"/>
      <c r="S868" s="91"/>
      <c r="T868" s="91"/>
      <c r="U868" s="91"/>
      <c r="V868" s="91"/>
      <c r="W868" s="91"/>
      <c r="X868" s="91"/>
      <c r="Y868" s="91"/>
      <c r="Z868" s="91"/>
    </row>
    <row r="869" ht="24.0" customHeight="1">
      <c r="B869" s="90"/>
      <c r="C869" s="90"/>
      <c r="D869" s="90"/>
      <c r="E869" s="90"/>
      <c r="F869" s="90"/>
      <c r="G869" s="90"/>
      <c r="H869" s="90"/>
      <c r="I869" s="90"/>
      <c r="J869" s="90"/>
      <c r="K869" s="90"/>
      <c r="L869" s="90"/>
      <c r="M869" s="91"/>
      <c r="N869" s="91"/>
      <c r="O869" s="91"/>
      <c r="P869" s="91"/>
      <c r="Q869" s="91"/>
      <c r="R869" s="91"/>
      <c r="S869" s="91"/>
      <c r="T869" s="91"/>
      <c r="U869" s="91"/>
      <c r="V869" s="91"/>
      <c r="W869" s="91"/>
      <c r="X869" s="91"/>
      <c r="Y869" s="91"/>
      <c r="Z869" s="91"/>
    </row>
    <row r="870" ht="24.0" customHeight="1">
      <c r="B870" s="90"/>
      <c r="C870" s="90"/>
      <c r="D870" s="90"/>
      <c r="E870" s="90"/>
      <c r="F870" s="90"/>
      <c r="G870" s="90"/>
      <c r="H870" s="90"/>
      <c r="I870" s="90"/>
      <c r="J870" s="90"/>
      <c r="K870" s="90"/>
      <c r="L870" s="90"/>
      <c r="M870" s="91"/>
      <c r="N870" s="91"/>
      <c r="O870" s="91"/>
      <c r="P870" s="91"/>
      <c r="Q870" s="91"/>
      <c r="R870" s="91"/>
      <c r="S870" s="91"/>
      <c r="T870" s="91"/>
      <c r="U870" s="91"/>
      <c r="V870" s="91"/>
      <c r="W870" s="91"/>
      <c r="X870" s="91"/>
      <c r="Y870" s="91"/>
      <c r="Z870" s="91"/>
    </row>
    <row r="871" ht="24.0" customHeight="1">
      <c r="B871" s="90"/>
      <c r="C871" s="90"/>
      <c r="D871" s="90"/>
      <c r="E871" s="90"/>
      <c r="F871" s="90"/>
      <c r="G871" s="90"/>
      <c r="H871" s="90"/>
      <c r="I871" s="90"/>
      <c r="J871" s="90"/>
      <c r="K871" s="90"/>
      <c r="L871" s="90"/>
      <c r="M871" s="91"/>
      <c r="N871" s="91"/>
      <c r="O871" s="91"/>
      <c r="P871" s="91"/>
      <c r="Q871" s="91"/>
      <c r="R871" s="91"/>
      <c r="S871" s="91"/>
      <c r="T871" s="91"/>
      <c r="U871" s="91"/>
      <c r="V871" s="91"/>
      <c r="W871" s="91"/>
      <c r="X871" s="91"/>
      <c r="Y871" s="91"/>
      <c r="Z871" s="91"/>
    </row>
    <row r="872" ht="24.0" customHeight="1">
      <c r="B872" s="90"/>
      <c r="C872" s="90"/>
      <c r="D872" s="90"/>
      <c r="E872" s="90"/>
      <c r="F872" s="90"/>
      <c r="G872" s="90"/>
      <c r="H872" s="90"/>
      <c r="I872" s="90"/>
      <c r="J872" s="90"/>
      <c r="K872" s="90"/>
      <c r="L872" s="90"/>
      <c r="M872" s="91"/>
      <c r="N872" s="91"/>
      <c r="O872" s="91"/>
      <c r="P872" s="91"/>
      <c r="Q872" s="91"/>
      <c r="R872" s="91"/>
      <c r="S872" s="91"/>
      <c r="T872" s="91"/>
      <c r="U872" s="91"/>
      <c r="V872" s="91"/>
      <c r="W872" s="91"/>
      <c r="X872" s="91"/>
      <c r="Y872" s="91"/>
      <c r="Z872" s="91"/>
    </row>
    <row r="873" ht="24.0" customHeight="1">
      <c r="B873" s="90"/>
      <c r="C873" s="90"/>
      <c r="D873" s="90"/>
      <c r="E873" s="90"/>
      <c r="F873" s="90"/>
      <c r="G873" s="90"/>
      <c r="H873" s="90"/>
      <c r="I873" s="90"/>
      <c r="J873" s="90"/>
      <c r="K873" s="90"/>
      <c r="L873" s="90"/>
      <c r="M873" s="91"/>
      <c r="N873" s="91"/>
      <c r="O873" s="91"/>
      <c r="P873" s="91"/>
      <c r="Q873" s="91"/>
      <c r="R873" s="91"/>
      <c r="S873" s="91"/>
      <c r="T873" s="91"/>
      <c r="U873" s="91"/>
      <c r="V873" s="91"/>
      <c r="W873" s="91"/>
      <c r="X873" s="91"/>
      <c r="Y873" s="91"/>
      <c r="Z873" s="91"/>
    </row>
    <row r="874" ht="24.0" customHeight="1">
      <c r="B874" s="90"/>
      <c r="C874" s="90"/>
      <c r="D874" s="90"/>
      <c r="E874" s="90"/>
      <c r="F874" s="90"/>
      <c r="G874" s="90"/>
      <c r="H874" s="90"/>
      <c r="I874" s="90"/>
      <c r="J874" s="90"/>
      <c r="K874" s="90"/>
      <c r="L874" s="90"/>
      <c r="M874" s="91"/>
      <c r="N874" s="91"/>
      <c r="O874" s="91"/>
      <c r="P874" s="91"/>
      <c r="Q874" s="91"/>
      <c r="R874" s="91"/>
      <c r="S874" s="91"/>
      <c r="T874" s="91"/>
      <c r="U874" s="91"/>
      <c r="V874" s="91"/>
      <c r="W874" s="91"/>
      <c r="X874" s="91"/>
      <c r="Y874" s="91"/>
      <c r="Z874" s="91"/>
    </row>
    <row r="875" ht="24.0" customHeight="1">
      <c r="B875" s="90"/>
      <c r="C875" s="90"/>
      <c r="D875" s="90"/>
      <c r="E875" s="90"/>
      <c r="F875" s="90"/>
      <c r="G875" s="90"/>
      <c r="H875" s="90"/>
      <c r="I875" s="90"/>
      <c r="J875" s="90"/>
      <c r="K875" s="90"/>
      <c r="L875" s="90"/>
      <c r="M875" s="91"/>
      <c r="N875" s="91"/>
      <c r="O875" s="91"/>
      <c r="P875" s="91"/>
      <c r="Q875" s="91"/>
      <c r="R875" s="91"/>
      <c r="S875" s="91"/>
      <c r="T875" s="91"/>
      <c r="U875" s="91"/>
      <c r="V875" s="91"/>
      <c r="W875" s="91"/>
      <c r="X875" s="91"/>
      <c r="Y875" s="91"/>
      <c r="Z875" s="91"/>
    </row>
    <row r="876" ht="24.0" customHeight="1">
      <c r="B876" s="90"/>
      <c r="C876" s="90"/>
      <c r="D876" s="90"/>
      <c r="E876" s="90"/>
      <c r="F876" s="90"/>
      <c r="G876" s="90"/>
      <c r="H876" s="90"/>
      <c r="I876" s="90"/>
      <c r="J876" s="90"/>
      <c r="K876" s="90"/>
      <c r="L876" s="90"/>
      <c r="M876" s="91"/>
      <c r="N876" s="91"/>
      <c r="O876" s="91"/>
      <c r="P876" s="91"/>
      <c r="Q876" s="91"/>
      <c r="R876" s="91"/>
      <c r="S876" s="91"/>
      <c r="T876" s="91"/>
      <c r="U876" s="91"/>
      <c r="V876" s="91"/>
      <c r="W876" s="91"/>
      <c r="X876" s="91"/>
      <c r="Y876" s="91"/>
      <c r="Z876" s="91"/>
    </row>
    <row r="877" ht="24.0" customHeight="1">
      <c r="B877" s="90"/>
      <c r="C877" s="90"/>
      <c r="D877" s="90"/>
      <c r="E877" s="90"/>
      <c r="F877" s="90"/>
      <c r="G877" s="90"/>
      <c r="H877" s="90"/>
      <c r="I877" s="90"/>
      <c r="J877" s="90"/>
      <c r="K877" s="90"/>
      <c r="L877" s="90"/>
      <c r="M877" s="91"/>
      <c r="N877" s="91"/>
      <c r="O877" s="91"/>
      <c r="P877" s="91"/>
      <c r="Q877" s="91"/>
      <c r="R877" s="91"/>
      <c r="S877" s="91"/>
      <c r="T877" s="91"/>
      <c r="U877" s="91"/>
      <c r="V877" s="91"/>
      <c r="W877" s="91"/>
      <c r="X877" s="91"/>
      <c r="Y877" s="91"/>
      <c r="Z877" s="91"/>
    </row>
    <row r="878" ht="24.0" customHeight="1">
      <c r="B878" s="90"/>
      <c r="C878" s="90"/>
      <c r="D878" s="90"/>
      <c r="E878" s="90"/>
      <c r="F878" s="90"/>
      <c r="G878" s="90"/>
      <c r="H878" s="90"/>
      <c r="I878" s="90"/>
      <c r="J878" s="90"/>
      <c r="K878" s="90"/>
      <c r="L878" s="90"/>
      <c r="M878" s="91"/>
      <c r="N878" s="91"/>
      <c r="O878" s="91"/>
      <c r="P878" s="91"/>
      <c r="Q878" s="91"/>
      <c r="R878" s="91"/>
      <c r="S878" s="91"/>
      <c r="T878" s="91"/>
      <c r="U878" s="91"/>
      <c r="V878" s="91"/>
      <c r="W878" s="91"/>
      <c r="X878" s="91"/>
      <c r="Y878" s="91"/>
      <c r="Z878" s="91"/>
    </row>
    <row r="879" ht="24.0" customHeight="1">
      <c r="B879" s="90"/>
      <c r="C879" s="90"/>
      <c r="D879" s="90"/>
      <c r="E879" s="90"/>
      <c r="F879" s="90"/>
      <c r="G879" s="90"/>
      <c r="H879" s="90"/>
      <c r="I879" s="90"/>
      <c r="J879" s="90"/>
      <c r="K879" s="90"/>
      <c r="L879" s="90"/>
      <c r="M879" s="91"/>
      <c r="N879" s="91"/>
      <c r="O879" s="91"/>
      <c r="P879" s="91"/>
      <c r="Q879" s="91"/>
      <c r="R879" s="91"/>
      <c r="S879" s="91"/>
      <c r="T879" s="91"/>
      <c r="U879" s="91"/>
      <c r="V879" s="91"/>
      <c r="W879" s="91"/>
      <c r="X879" s="91"/>
      <c r="Y879" s="91"/>
      <c r="Z879" s="91"/>
    </row>
    <row r="880" ht="24.0" customHeight="1">
      <c r="B880" s="90"/>
      <c r="C880" s="90"/>
      <c r="D880" s="90"/>
      <c r="E880" s="90"/>
      <c r="F880" s="90"/>
      <c r="G880" s="90"/>
      <c r="H880" s="90"/>
      <c r="I880" s="90"/>
      <c r="J880" s="90"/>
      <c r="K880" s="90"/>
      <c r="L880" s="90"/>
      <c r="M880" s="91"/>
      <c r="N880" s="91"/>
      <c r="O880" s="91"/>
      <c r="P880" s="91"/>
      <c r="Q880" s="91"/>
      <c r="R880" s="91"/>
      <c r="S880" s="91"/>
      <c r="T880" s="91"/>
      <c r="U880" s="91"/>
      <c r="V880" s="91"/>
      <c r="W880" s="91"/>
      <c r="X880" s="91"/>
      <c r="Y880" s="91"/>
      <c r="Z880" s="91"/>
    </row>
    <row r="881" ht="24.0" customHeight="1">
      <c r="B881" s="90"/>
      <c r="C881" s="90"/>
      <c r="D881" s="90"/>
      <c r="E881" s="90"/>
      <c r="F881" s="90"/>
      <c r="G881" s="90"/>
      <c r="H881" s="90"/>
      <c r="I881" s="90"/>
      <c r="J881" s="90"/>
      <c r="K881" s="90"/>
      <c r="L881" s="90"/>
      <c r="M881" s="91"/>
      <c r="N881" s="91"/>
      <c r="O881" s="91"/>
      <c r="P881" s="91"/>
      <c r="Q881" s="91"/>
      <c r="R881" s="91"/>
      <c r="S881" s="91"/>
      <c r="T881" s="91"/>
      <c r="U881" s="91"/>
      <c r="V881" s="91"/>
      <c r="W881" s="91"/>
      <c r="X881" s="91"/>
      <c r="Y881" s="91"/>
      <c r="Z881" s="91"/>
    </row>
    <row r="882" ht="24.0" customHeight="1">
      <c r="B882" s="90"/>
      <c r="C882" s="90"/>
      <c r="D882" s="90"/>
      <c r="E882" s="90"/>
      <c r="F882" s="90"/>
      <c r="G882" s="90"/>
      <c r="H882" s="90"/>
      <c r="I882" s="90"/>
      <c r="J882" s="90"/>
      <c r="K882" s="90"/>
      <c r="L882" s="90"/>
      <c r="M882" s="91"/>
      <c r="N882" s="91"/>
      <c r="O882" s="91"/>
      <c r="P882" s="91"/>
      <c r="Q882" s="91"/>
      <c r="R882" s="91"/>
      <c r="S882" s="91"/>
      <c r="T882" s="91"/>
      <c r="U882" s="91"/>
      <c r="V882" s="91"/>
      <c r="W882" s="91"/>
      <c r="X882" s="91"/>
      <c r="Y882" s="91"/>
      <c r="Z882" s="91"/>
    </row>
    <row r="883" ht="24.0" customHeight="1">
      <c r="B883" s="90"/>
      <c r="C883" s="90"/>
      <c r="D883" s="90"/>
      <c r="E883" s="90"/>
      <c r="F883" s="90"/>
      <c r="G883" s="90"/>
      <c r="H883" s="90"/>
      <c r="I883" s="90"/>
      <c r="J883" s="90"/>
      <c r="K883" s="90"/>
      <c r="L883" s="90"/>
      <c r="M883" s="91"/>
      <c r="N883" s="91"/>
      <c r="O883" s="91"/>
      <c r="P883" s="91"/>
      <c r="Q883" s="91"/>
      <c r="R883" s="91"/>
      <c r="S883" s="91"/>
      <c r="T883" s="91"/>
      <c r="U883" s="91"/>
      <c r="V883" s="91"/>
      <c r="W883" s="91"/>
      <c r="X883" s="91"/>
      <c r="Y883" s="91"/>
      <c r="Z883" s="91"/>
    </row>
    <row r="884" ht="24.0" customHeight="1">
      <c r="B884" s="90"/>
      <c r="C884" s="90"/>
      <c r="D884" s="90"/>
      <c r="E884" s="90"/>
      <c r="F884" s="90"/>
      <c r="G884" s="90"/>
      <c r="H884" s="90"/>
      <c r="I884" s="90"/>
      <c r="J884" s="90"/>
      <c r="K884" s="90"/>
      <c r="L884" s="90"/>
      <c r="M884" s="91"/>
      <c r="N884" s="91"/>
      <c r="O884" s="91"/>
      <c r="P884" s="91"/>
      <c r="Q884" s="91"/>
      <c r="R884" s="91"/>
      <c r="S884" s="91"/>
      <c r="T884" s="91"/>
      <c r="U884" s="91"/>
      <c r="V884" s="91"/>
      <c r="W884" s="91"/>
      <c r="X884" s="91"/>
      <c r="Y884" s="91"/>
      <c r="Z884" s="91"/>
    </row>
    <row r="885" ht="24.0" customHeight="1">
      <c r="B885" s="90"/>
      <c r="C885" s="90"/>
      <c r="D885" s="90"/>
      <c r="E885" s="90"/>
      <c r="F885" s="90"/>
      <c r="G885" s="90"/>
      <c r="H885" s="90"/>
      <c r="I885" s="90"/>
      <c r="J885" s="90"/>
      <c r="K885" s="90"/>
      <c r="L885" s="90"/>
      <c r="M885" s="91"/>
      <c r="N885" s="91"/>
      <c r="O885" s="91"/>
      <c r="P885" s="91"/>
      <c r="Q885" s="91"/>
      <c r="R885" s="91"/>
      <c r="S885" s="91"/>
      <c r="T885" s="91"/>
      <c r="U885" s="91"/>
      <c r="V885" s="91"/>
      <c r="W885" s="91"/>
      <c r="X885" s="91"/>
      <c r="Y885" s="91"/>
      <c r="Z885" s="91"/>
    </row>
    <row r="886" ht="24.0" customHeight="1">
      <c r="B886" s="90"/>
      <c r="C886" s="90"/>
      <c r="D886" s="90"/>
      <c r="E886" s="90"/>
      <c r="F886" s="90"/>
      <c r="G886" s="90"/>
      <c r="H886" s="90"/>
      <c r="I886" s="90"/>
      <c r="J886" s="90"/>
      <c r="K886" s="90"/>
      <c r="L886" s="90"/>
      <c r="M886" s="91"/>
      <c r="N886" s="91"/>
      <c r="O886" s="91"/>
      <c r="P886" s="91"/>
      <c r="Q886" s="91"/>
      <c r="R886" s="91"/>
      <c r="S886" s="91"/>
      <c r="T886" s="91"/>
      <c r="U886" s="91"/>
      <c r="V886" s="91"/>
      <c r="W886" s="91"/>
      <c r="X886" s="91"/>
      <c r="Y886" s="91"/>
      <c r="Z886" s="91"/>
    </row>
    <row r="887" ht="24.0" customHeight="1">
      <c r="B887" s="90"/>
      <c r="C887" s="90"/>
      <c r="D887" s="90"/>
      <c r="E887" s="90"/>
      <c r="F887" s="90"/>
      <c r="G887" s="90"/>
      <c r="H887" s="90"/>
      <c r="I887" s="90"/>
      <c r="J887" s="90"/>
      <c r="K887" s="90"/>
      <c r="L887" s="90"/>
      <c r="M887" s="91"/>
      <c r="N887" s="91"/>
      <c r="O887" s="91"/>
      <c r="P887" s="91"/>
      <c r="Q887" s="91"/>
      <c r="R887" s="91"/>
      <c r="S887" s="91"/>
      <c r="T887" s="91"/>
      <c r="U887" s="91"/>
      <c r="V887" s="91"/>
      <c r="W887" s="91"/>
      <c r="X887" s="91"/>
      <c r="Y887" s="91"/>
      <c r="Z887" s="91"/>
    </row>
    <row r="888" ht="24.0" customHeight="1">
      <c r="B888" s="90"/>
      <c r="C888" s="90"/>
      <c r="D888" s="90"/>
      <c r="E888" s="90"/>
      <c r="F888" s="90"/>
      <c r="G888" s="90"/>
      <c r="H888" s="90"/>
      <c r="I888" s="90"/>
      <c r="J888" s="90"/>
      <c r="K888" s="90"/>
      <c r="L888" s="90"/>
      <c r="M888" s="91"/>
      <c r="N888" s="91"/>
      <c r="O888" s="91"/>
      <c r="P888" s="91"/>
      <c r="Q888" s="91"/>
      <c r="R888" s="91"/>
      <c r="S888" s="91"/>
      <c r="T888" s="91"/>
      <c r="U888" s="91"/>
      <c r="V888" s="91"/>
      <c r="W888" s="91"/>
      <c r="X888" s="91"/>
      <c r="Y888" s="91"/>
      <c r="Z888" s="91"/>
    </row>
    <row r="889" ht="24.0" customHeight="1">
      <c r="B889" s="90"/>
      <c r="C889" s="90"/>
      <c r="D889" s="90"/>
      <c r="E889" s="90"/>
      <c r="F889" s="90"/>
      <c r="G889" s="90"/>
      <c r="H889" s="90"/>
      <c r="I889" s="90"/>
      <c r="J889" s="90"/>
      <c r="K889" s="90"/>
      <c r="L889" s="90"/>
      <c r="M889" s="91"/>
      <c r="N889" s="91"/>
      <c r="O889" s="91"/>
      <c r="P889" s="91"/>
      <c r="Q889" s="91"/>
      <c r="R889" s="91"/>
      <c r="S889" s="91"/>
      <c r="T889" s="91"/>
      <c r="U889" s="91"/>
      <c r="V889" s="91"/>
      <c r="W889" s="91"/>
      <c r="X889" s="91"/>
      <c r="Y889" s="91"/>
      <c r="Z889" s="91"/>
    </row>
    <row r="890" ht="24.0" customHeight="1">
      <c r="B890" s="90"/>
      <c r="C890" s="90"/>
      <c r="D890" s="90"/>
      <c r="E890" s="90"/>
      <c r="F890" s="90"/>
      <c r="G890" s="90"/>
      <c r="H890" s="90"/>
      <c r="I890" s="90"/>
      <c r="J890" s="90"/>
      <c r="K890" s="90"/>
      <c r="L890" s="90"/>
      <c r="M890" s="91"/>
      <c r="N890" s="91"/>
      <c r="O890" s="91"/>
      <c r="P890" s="91"/>
      <c r="Q890" s="91"/>
      <c r="R890" s="91"/>
      <c r="S890" s="91"/>
      <c r="T890" s="91"/>
      <c r="U890" s="91"/>
      <c r="V890" s="91"/>
      <c r="W890" s="91"/>
      <c r="X890" s="91"/>
      <c r="Y890" s="91"/>
      <c r="Z890" s="91"/>
    </row>
    <row r="891" ht="24.0" customHeight="1">
      <c r="B891" s="90"/>
      <c r="C891" s="90"/>
      <c r="D891" s="90"/>
      <c r="E891" s="90"/>
      <c r="F891" s="90"/>
      <c r="G891" s="90"/>
      <c r="H891" s="90"/>
      <c r="I891" s="90"/>
      <c r="J891" s="90"/>
      <c r="K891" s="90"/>
      <c r="L891" s="90"/>
      <c r="M891" s="91"/>
      <c r="N891" s="91"/>
      <c r="O891" s="91"/>
      <c r="P891" s="91"/>
      <c r="Q891" s="91"/>
      <c r="R891" s="91"/>
      <c r="S891" s="91"/>
      <c r="T891" s="91"/>
      <c r="U891" s="91"/>
      <c r="V891" s="91"/>
      <c r="W891" s="91"/>
      <c r="X891" s="91"/>
      <c r="Y891" s="91"/>
      <c r="Z891" s="91"/>
    </row>
    <row r="892" ht="24.0" customHeight="1">
      <c r="B892" s="90"/>
      <c r="C892" s="90"/>
      <c r="D892" s="90"/>
      <c r="E892" s="90"/>
      <c r="F892" s="90"/>
      <c r="G892" s="90"/>
      <c r="H892" s="90"/>
      <c r="I892" s="90"/>
      <c r="J892" s="90"/>
      <c r="K892" s="90"/>
      <c r="L892" s="90"/>
      <c r="M892" s="91"/>
      <c r="N892" s="91"/>
      <c r="O892" s="91"/>
      <c r="P892" s="91"/>
      <c r="Q892" s="91"/>
      <c r="R892" s="91"/>
      <c r="S892" s="91"/>
      <c r="T892" s="91"/>
      <c r="U892" s="91"/>
      <c r="V892" s="91"/>
      <c r="W892" s="91"/>
      <c r="X892" s="91"/>
      <c r="Y892" s="91"/>
      <c r="Z892" s="91"/>
    </row>
    <row r="893" ht="24.0" customHeight="1">
      <c r="B893" s="90"/>
      <c r="C893" s="90"/>
      <c r="D893" s="90"/>
      <c r="E893" s="90"/>
      <c r="F893" s="90"/>
      <c r="G893" s="90"/>
      <c r="H893" s="90"/>
      <c r="I893" s="90"/>
      <c r="J893" s="90"/>
      <c r="K893" s="90"/>
      <c r="L893" s="90"/>
      <c r="M893" s="91"/>
      <c r="N893" s="91"/>
      <c r="O893" s="91"/>
      <c r="P893" s="91"/>
      <c r="Q893" s="91"/>
      <c r="R893" s="91"/>
      <c r="S893" s="91"/>
      <c r="T893" s="91"/>
      <c r="U893" s="91"/>
      <c r="V893" s="91"/>
      <c r="W893" s="91"/>
      <c r="X893" s="91"/>
      <c r="Y893" s="91"/>
      <c r="Z893" s="91"/>
    </row>
    <row r="894" ht="24.0" customHeight="1">
      <c r="B894" s="90"/>
      <c r="C894" s="90"/>
      <c r="D894" s="90"/>
      <c r="E894" s="90"/>
      <c r="F894" s="90"/>
      <c r="G894" s="90"/>
      <c r="H894" s="90"/>
      <c r="I894" s="90"/>
      <c r="J894" s="90"/>
      <c r="K894" s="90"/>
      <c r="L894" s="90"/>
      <c r="M894" s="91"/>
      <c r="N894" s="91"/>
      <c r="O894" s="91"/>
      <c r="P894" s="91"/>
      <c r="Q894" s="91"/>
      <c r="R894" s="91"/>
      <c r="S894" s="91"/>
      <c r="T894" s="91"/>
      <c r="U894" s="91"/>
      <c r="V894" s="91"/>
      <c r="W894" s="91"/>
      <c r="X894" s="91"/>
      <c r="Y894" s="91"/>
      <c r="Z894" s="91"/>
    </row>
    <row r="895" ht="24.0" customHeight="1">
      <c r="B895" s="90"/>
      <c r="C895" s="90"/>
      <c r="D895" s="90"/>
      <c r="E895" s="90"/>
      <c r="F895" s="90"/>
      <c r="G895" s="90"/>
      <c r="H895" s="90"/>
      <c r="I895" s="90"/>
      <c r="J895" s="90"/>
      <c r="K895" s="90"/>
      <c r="L895" s="90"/>
      <c r="M895" s="91"/>
      <c r="N895" s="91"/>
      <c r="O895" s="91"/>
      <c r="P895" s="91"/>
      <c r="Q895" s="91"/>
      <c r="R895" s="91"/>
      <c r="S895" s="91"/>
      <c r="T895" s="91"/>
      <c r="U895" s="91"/>
      <c r="V895" s="91"/>
      <c r="W895" s="91"/>
      <c r="X895" s="91"/>
      <c r="Y895" s="91"/>
      <c r="Z895" s="91"/>
    </row>
    <row r="896" ht="24.0" customHeight="1">
      <c r="B896" s="90"/>
      <c r="C896" s="90"/>
      <c r="D896" s="90"/>
      <c r="E896" s="90"/>
      <c r="F896" s="90"/>
      <c r="G896" s="90"/>
      <c r="H896" s="90"/>
      <c r="I896" s="90"/>
      <c r="J896" s="90"/>
      <c r="K896" s="90"/>
      <c r="L896" s="90"/>
      <c r="M896" s="91"/>
      <c r="N896" s="91"/>
      <c r="O896" s="91"/>
      <c r="P896" s="91"/>
      <c r="Q896" s="91"/>
      <c r="R896" s="91"/>
      <c r="S896" s="91"/>
      <c r="T896" s="91"/>
      <c r="U896" s="91"/>
      <c r="V896" s="91"/>
      <c r="W896" s="91"/>
      <c r="X896" s="91"/>
      <c r="Y896" s="91"/>
      <c r="Z896" s="91"/>
    </row>
    <row r="897" ht="24.0" customHeight="1">
      <c r="B897" s="90"/>
      <c r="C897" s="90"/>
      <c r="D897" s="90"/>
      <c r="E897" s="90"/>
      <c r="F897" s="90"/>
      <c r="G897" s="90"/>
      <c r="H897" s="90"/>
      <c r="I897" s="90"/>
      <c r="J897" s="90"/>
      <c r="K897" s="90"/>
      <c r="L897" s="90"/>
      <c r="M897" s="91"/>
      <c r="N897" s="91"/>
      <c r="O897" s="91"/>
      <c r="P897" s="91"/>
      <c r="Q897" s="91"/>
      <c r="R897" s="91"/>
      <c r="S897" s="91"/>
      <c r="T897" s="91"/>
      <c r="U897" s="91"/>
      <c r="V897" s="91"/>
      <c r="W897" s="91"/>
      <c r="X897" s="91"/>
      <c r="Y897" s="91"/>
      <c r="Z897" s="91"/>
    </row>
    <row r="898" ht="24.0" customHeight="1">
      <c r="B898" s="90"/>
      <c r="C898" s="90"/>
      <c r="D898" s="90"/>
      <c r="E898" s="90"/>
      <c r="F898" s="90"/>
      <c r="G898" s="90"/>
      <c r="H898" s="90"/>
      <c r="I898" s="90"/>
      <c r="J898" s="90"/>
      <c r="K898" s="90"/>
      <c r="L898" s="90"/>
      <c r="M898" s="91"/>
      <c r="N898" s="91"/>
      <c r="O898" s="91"/>
      <c r="P898" s="91"/>
      <c r="Q898" s="91"/>
      <c r="R898" s="91"/>
      <c r="S898" s="91"/>
      <c r="T898" s="91"/>
      <c r="U898" s="91"/>
      <c r="V898" s="91"/>
      <c r="W898" s="91"/>
      <c r="X898" s="91"/>
      <c r="Y898" s="91"/>
      <c r="Z898" s="91"/>
    </row>
    <row r="899" ht="24.0" customHeight="1">
      <c r="B899" s="90"/>
      <c r="C899" s="90"/>
      <c r="D899" s="90"/>
      <c r="E899" s="90"/>
      <c r="F899" s="90"/>
      <c r="G899" s="90"/>
      <c r="H899" s="90"/>
      <c r="I899" s="90"/>
      <c r="J899" s="90"/>
      <c r="K899" s="90"/>
      <c r="L899" s="90"/>
      <c r="M899" s="91"/>
      <c r="N899" s="91"/>
      <c r="O899" s="91"/>
      <c r="P899" s="91"/>
      <c r="Q899" s="91"/>
      <c r="R899" s="91"/>
      <c r="S899" s="91"/>
      <c r="T899" s="91"/>
      <c r="U899" s="91"/>
      <c r="V899" s="91"/>
      <c r="W899" s="91"/>
      <c r="X899" s="91"/>
      <c r="Y899" s="91"/>
      <c r="Z899" s="91"/>
    </row>
    <row r="900" ht="24.0" customHeight="1">
      <c r="B900" s="90"/>
      <c r="C900" s="90"/>
      <c r="D900" s="90"/>
      <c r="E900" s="90"/>
      <c r="F900" s="90"/>
      <c r="G900" s="90"/>
      <c r="H900" s="90"/>
      <c r="I900" s="90"/>
      <c r="J900" s="90"/>
      <c r="K900" s="90"/>
      <c r="L900" s="90"/>
      <c r="M900" s="91"/>
      <c r="N900" s="91"/>
      <c r="O900" s="91"/>
      <c r="P900" s="91"/>
      <c r="Q900" s="91"/>
      <c r="R900" s="91"/>
      <c r="S900" s="91"/>
      <c r="T900" s="91"/>
      <c r="U900" s="91"/>
      <c r="V900" s="91"/>
      <c r="W900" s="91"/>
      <c r="X900" s="91"/>
      <c r="Y900" s="91"/>
      <c r="Z900" s="91"/>
    </row>
    <row r="901" ht="24.0" customHeight="1">
      <c r="B901" s="90"/>
      <c r="C901" s="90"/>
      <c r="D901" s="90"/>
      <c r="E901" s="90"/>
      <c r="F901" s="90"/>
      <c r="G901" s="90"/>
      <c r="H901" s="90"/>
      <c r="I901" s="90"/>
      <c r="J901" s="90"/>
      <c r="K901" s="90"/>
      <c r="L901" s="90"/>
      <c r="M901" s="91"/>
      <c r="N901" s="91"/>
      <c r="O901" s="91"/>
      <c r="P901" s="91"/>
      <c r="Q901" s="91"/>
      <c r="R901" s="91"/>
      <c r="S901" s="91"/>
      <c r="T901" s="91"/>
      <c r="U901" s="91"/>
      <c r="V901" s="91"/>
      <c r="W901" s="91"/>
      <c r="X901" s="91"/>
      <c r="Y901" s="91"/>
      <c r="Z901" s="91"/>
    </row>
    <row r="902" ht="24.0" customHeight="1">
      <c r="B902" s="90"/>
      <c r="C902" s="90"/>
      <c r="D902" s="90"/>
      <c r="E902" s="90"/>
      <c r="F902" s="90"/>
      <c r="G902" s="90"/>
      <c r="H902" s="90"/>
      <c r="I902" s="90"/>
      <c r="J902" s="90"/>
      <c r="K902" s="90"/>
      <c r="L902" s="90"/>
      <c r="M902" s="91"/>
      <c r="N902" s="91"/>
      <c r="O902" s="91"/>
      <c r="P902" s="91"/>
      <c r="Q902" s="91"/>
      <c r="R902" s="91"/>
      <c r="S902" s="91"/>
      <c r="T902" s="91"/>
      <c r="U902" s="91"/>
      <c r="V902" s="91"/>
      <c r="W902" s="91"/>
      <c r="X902" s="91"/>
      <c r="Y902" s="91"/>
      <c r="Z902" s="91"/>
    </row>
    <row r="903" ht="24.0" customHeight="1">
      <c r="B903" s="90"/>
      <c r="C903" s="90"/>
      <c r="D903" s="90"/>
      <c r="E903" s="90"/>
      <c r="F903" s="90"/>
      <c r="G903" s="90"/>
      <c r="H903" s="90"/>
      <c r="I903" s="90"/>
      <c r="J903" s="90"/>
      <c r="K903" s="90"/>
      <c r="L903" s="90"/>
      <c r="M903" s="91"/>
      <c r="N903" s="91"/>
      <c r="O903" s="91"/>
      <c r="P903" s="91"/>
      <c r="Q903" s="91"/>
      <c r="R903" s="91"/>
      <c r="S903" s="91"/>
      <c r="T903" s="91"/>
      <c r="U903" s="91"/>
      <c r="V903" s="91"/>
      <c r="W903" s="91"/>
      <c r="X903" s="91"/>
      <c r="Y903" s="91"/>
      <c r="Z903" s="91"/>
    </row>
    <row r="904" ht="24.0" customHeight="1">
      <c r="B904" s="90"/>
      <c r="C904" s="90"/>
      <c r="D904" s="90"/>
      <c r="E904" s="90"/>
      <c r="F904" s="90"/>
      <c r="G904" s="90"/>
      <c r="H904" s="90"/>
      <c r="I904" s="90"/>
      <c r="J904" s="90"/>
      <c r="K904" s="90"/>
      <c r="L904" s="90"/>
      <c r="M904" s="91"/>
      <c r="N904" s="91"/>
      <c r="O904" s="91"/>
      <c r="P904" s="91"/>
      <c r="Q904" s="91"/>
      <c r="R904" s="91"/>
      <c r="S904" s="91"/>
      <c r="T904" s="91"/>
      <c r="U904" s="91"/>
      <c r="V904" s="91"/>
      <c r="W904" s="91"/>
      <c r="X904" s="91"/>
      <c r="Y904" s="91"/>
      <c r="Z904" s="91"/>
    </row>
    <row r="905" ht="24.0" customHeight="1">
      <c r="B905" s="90"/>
      <c r="C905" s="90"/>
      <c r="D905" s="90"/>
      <c r="E905" s="90"/>
      <c r="F905" s="90"/>
      <c r="G905" s="90"/>
      <c r="H905" s="90"/>
      <c r="I905" s="90"/>
      <c r="J905" s="90"/>
      <c r="K905" s="90"/>
      <c r="L905" s="90"/>
      <c r="M905" s="91"/>
      <c r="N905" s="91"/>
      <c r="O905" s="91"/>
      <c r="P905" s="91"/>
      <c r="Q905" s="91"/>
      <c r="R905" s="91"/>
      <c r="S905" s="91"/>
      <c r="T905" s="91"/>
      <c r="U905" s="91"/>
      <c r="V905" s="91"/>
      <c r="W905" s="91"/>
      <c r="X905" s="91"/>
      <c r="Y905" s="91"/>
      <c r="Z905" s="91"/>
    </row>
    <row r="906" ht="24.0" customHeight="1">
      <c r="B906" s="90"/>
      <c r="C906" s="90"/>
      <c r="D906" s="90"/>
      <c r="E906" s="90"/>
      <c r="F906" s="90"/>
      <c r="G906" s="90"/>
      <c r="H906" s="90"/>
      <c r="I906" s="90"/>
      <c r="J906" s="90"/>
      <c r="K906" s="90"/>
      <c r="L906" s="90"/>
      <c r="M906" s="91"/>
      <c r="N906" s="91"/>
      <c r="O906" s="91"/>
      <c r="P906" s="91"/>
      <c r="Q906" s="91"/>
      <c r="R906" s="91"/>
      <c r="S906" s="91"/>
      <c r="T906" s="91"/>
      <c r="U906" s="91"/>
      <c r="V906" s="91"/>
      <c r="W906" s="91"/>
      <c r="X906" s="91"/>
      <c r="Y906" s="91"/>
      <c r="Z906" s="91"/>
    </row>
    <row r="907" ht="24.0" customHeight="1">
      <c r="B907" s="90"/>
      <c r="C907" s="90"/>
      <c r="D907" s="90"/>
      <c r="E907" s="90"/>
      <c r="F907" s="90"/>
      <c r="G907" s="90"/>
      <c r="H907" s="90"/>
      <c r="I907" s="90"/>
      <c r="J907" s="90"/>
      <c r="K907" s="90"/>
      <c r="L907" s="90"/>
      <c r="M907" s="91"/>
      <c r="N907" s="91"/>
      <c r="O907" s="91"/>
      <c r="P907" s="91"/>
      <c r="Q907" s="91"/>
      <c r="R907" s="91"/>
      <c r="S907" s="91"/>
      <c r="T907" s="91"/>
      <c r="U907" s="91"/>
      <c r="V907" s="91"/>
      <c r="W907" s="91"/>
      <c r="X907" s="91"/>
      <c r="Y907" s="91"/>
      <c r="Z907" s="91"/>
    </row>
    <row r="908" ht="24.0" customHeight="1">
      <c r="B908" s="90"/>
      <c r="C908" s="90"/>
      <c r="D908" s="90"/>
      <c r="E908" s="90"/>
      <c r="F908" s="90"/>
      <c r="G908" s="90"/>
      <c r="H908" s="90"/>
      <c r="I908" s="90"/>
      <c r="J908" s="90"/>
      <c r="K908" s="90"/>
      <c r="L908" s="90"/>
      <c r="M908" s="91"/>
      <c r="N908" s="91"/>
      <c r="O908" s="91"/>
      <c r="P908" s="91"/>
      <c r="Q908" s="91"/>
      <c r="R908" s="91"/>
      <c r="S908" s="91"/>
      <c r="T908" s="91"/>
      <c r="U908" s="91"/>
      <c r="V908" s="91"/>
      <c r="W908" s="91"/>
      <c r="X908" s="91"/>
      <c r="Y908" s="91"/>
      <c r="Z908" s="91"/>
    </row>
    <row r="909" ht="24.0" customHeight="1">
      <c r="B909" s="90"/>
      <c r="C909" s="90"/>
      <c r="D909" s="90"/>
      <c r="E909" s="90"/>
      <c r="F909" s="90"/>
      <c r="G909" s="90"/>
      <c r="H909" s="90"/>
      <c r="I909" s="90"/>
      <c r="J909" s="90"/>
      <c r="K909" s="90"/>
      <c r="L909" s="90"/>
      <c r="M909" s="91"/>
      <c r="N909" s="91"/>
      <c r="O909" s="91"/>
      <c r="P909" s="91"/>
      <c r="Q909" s="91"/>
      <c r="R909" s="91"/>
      <c r="S909" s="91"/>
      <c r="T909" s="91"/>
      <c r="U909" s="91"/>
      <c r="V909" s="91"/>
      <c r="W909" s="91"/>
      <c r="X909" s="91"/>
      <c r="Y909" s="91"/>
      <c r="Z909" s="91"/>
    </row>
    <row r="910" ht="24.0" customHeight="1">
      <c r="B910" s="90"/>
      <c r="C910" s="90"/>
      <c r="D910" s="90"/>
      <c r="E910" s="90"/>
      <c r="F910" s="90"/>
      <c r="G910" s="90"/>
      <c r="H910" s="90"/>
      <c r="I910" s="90"/>
      <c r="J910" s="90"/>
      <c r="K910" s="90"/>
      <c r="L910" s="90"/>
      <c r="M910" s="91"/>
      <c r="N910" s="91"/>
      <c r="O910" s="91"/>
      <c r="P910" s="91"/>
      <c r="Q910" s="91"/>
      <c r="R910" s="91"/>
      <c r="S910" s="91"/>
      <c r="T910" s="91"/>
      <c r="U910" s="91"/>
      <c r="V910" s="91"/>
      <c r="W910" s="91"/>
      <c r="X910" s="91"/>
      <c r="Y910" s="91"/>
      <c r="Z910" s="91"/>
    </row>
    <row r="911" ht="24.0" customHeight="1">
      <c r="B911" s="90"/>
      <c r="C911" s="90"/>
      <c r="D911" s="90"/>
      <c r="E911" s="90"/>
      <c r="F911" s="90"/>
      <c r="G911" s="90"/>
      <c r="H911" s="90"/>
      <c r="I911" s="90"/>
      <c r="J911" s="90"/>
      <c r="K911" s="90"/>
      <c r="L911" s="90"/>
      <c r="M911" s="91"/>
      <c r="N911" s="91"/>
      <c r="O911" s="91"/>
      <c r="P911" s="91"/>
      <c r="Q911" s="91"/>
      <c r="R911" s="91"/>
      <c r="S911" s="91"/>
      <c r="T911" s="91"/>
      <c r="U911" s="91"/>
      <c r="V911" s="91"/>
      <c r="W911" s="91"/>
      <c r="X911" s="91"/>
      <c r="Y911" s="91"/>
      <c r="Z911" s="91"/>
    </row>
    <row r="912" ht="24.0" customHeight="1">
      <c r="B912" s="90"/>
      <c r="C912" s="90"/>
      <c r="D912" s="90"/>
      <c r="E912" s="90"/>
      <c r="F912" s="90"/>
      <c r="G912" s="90"/>
      <c r="H912" s="90"/>
      <c r="I912" s="90"/>
      <c r="J912" s="90"/>
      <c r="K912" s="90"/>
      <c r="L912" s="90"/>
      <c r="M912" s="91"/>
      <c r="N912" s="91"/>
      <c r="O912" s="91"/>
      <c r="P912" s="91"/>
      <c r="Q912" s="91"/>
      <c r="R912" s="91"/>
      <c r="S912" s="91"/>
      <c r="T912" s="91"/>
      <c r="U912" s="91"/>
      <c r="V912" s="91"/>
      <c r="W912" s="91"/>
      <c r="X912" s="91"/>
      <c r="Y912" s="91"/>
      <c r="Z912" s="91"/>
    </row>
    <row r="913" ht="24.0" customHeight="1">
      <c r="B913" s="90"/>
      <c r="C913" s="90"/>
      <c r="D913" s="90"/>
      <c r="E913" s="90"/>
      <c r="F913" s="90"/>
      <c r="G913" s="90"/>
      <c r="H913" s="90"/>
      <c r="I913" s="90"/>
      <c r="J913" s="90"/>
      <c r="K913" s="90"/>
      <c r="L913" s="90"/>
      <c r="M913" s="91"/>
      <c r="N913" s="91"/>
      <c r="O913" s="91"/>
      <c r="P913" s="91"/>
      <c r="Q913" s="91"/>
      <c r="R913" s="91"/>
      <c r="S913" s="91"/>
      <c r="T913" s="91"/>
      <c r="U913" s="91"/>
      <c r="V913" s="91"/>
      <c r="W913" s="91"/>
      <c r="X913" s="91"/>
      <c r="Y913" s="91"/>
      <c r="Z913" s="91"/>
    </row>
    <row r="914" ht="24.0" customHeight="1">
      <c r="B914" s="90"/>
      <c r="C914" s="90"/>
      <c r="D914" s="90"/>
      <c r="E914" s="90"/>
      <c r="F914" s="90"/>
      <c r="G914" s="90"/>
      <c r="H914" s="90"/>
      <c r="I914" s="90"/>
      <c r="J914" s="90"/>
      <c r="K914" s="90"/>
      <c r="L914" s="90"/>
      <c r="M914" s="91"/>
      <c r="N914" s="91"/>
      <c r="O914" s="91"/>
      <c r="P914" s="91"/>
      <c r="Q914" s="91"/>
      <c r="R914" s="91"/>
      <c r="S914" s="91"/>
      <c r="T914" s="91"/>
      <c r="U914" s="91"/>
      <c r="V914" s="91"/>
      <c r="W914" s="91"/>
      <c r="X914" s="91"/>
      <c r="Y914" s="91"/>
      <c r="Z914" s="91"/>
    </row>
    <row r="915" ht="24.0" customHeight="1">
      <c r="B915" s="90"/>
      <c r="C915" s="90"/>
      <c r="D915" s="90"/>
      <c r="E915" s="90"/>
      <c r="F915" s="90"/>
      <c r="G915" s="90"/>
      <c r="H915" s="90"/>
      <c r="I915" s="90"/>
      <c r="J915" s="90"/>
      <c r="K915" s="90"/>
      <c r="L915" s="90"/>
      <c r="M915" s="91"/>
      <c r="N915" s="91"/>
      <c r="O915" s="91"/>
      <c r="P915" s="91"/>
      <c r="Q915" s="91"/>
      <c r="R915" s="91"/>
      <c r="S915" s="91"/>
      <c r="T915" s="91"/>
      <c r="U915" s="91"/>
      <c r="V915" s="91"/>
      <c r="W915" s="91"/>
      <c r="X915" s="91"/>
      <c r="Y915" s="91"/>
      <c r="Z915" s="91"/>
    </row>
    <row r="916" ht="24.0" customHeight="1">
      <c r="B916" s="90"/>
      <c r="C916" s="90"/>
      <c r="D916" s="90"/>
      <c r="E916" s="90"/>
      <c r="F916" s="90"/>
      <c r="G916" s="90"/>
      <c r="H916" s="90"/>
      <c r="I916" s="90"/>
      <c r="J916" s="90"/>
      <c r="K916" s="90"/>
      <c r="L916" s="90"/>
      <c r="M916" s="91"/>
      <c r="N916" s="91"/>
      <c r="O916" s="91"/>
      <c r="P916" s="91"/>
      <c r="Q916" s="91"/>
      <c r="R916" s="91"/>
      <c r="S916" s="91"/>
      <c r="T916" s="91"/>
      <c r="U916" s="91"/>
      <c r="V916" s="91"/>
      <c r="W916" s="91"/>
      <c r="X916" s="91"/>
      <c r="Y916" s="91"/>
      <c r="Z916" s="91"/>
    </row>
    <row r="917" ht="24.0" customHeight="1">
      <c r="B917" s="90"/>
      <c r="C917" s="90"/>
      <c r="D917" s="90"/>
      <c r="E917" s="90"/>
      <c r="F917" s="90"/>
      <c r="G917" s="90"/>
      <c r="H917" s="90"/>
      <c r="I917" s="90"/>
      <c r="J917" s="90"/>
      <c r="K917" s="90"/>
      <c r="L917" s="90"/>
      <c r="M917" s="91"/>
      <c r="N917" s="91"/>
      <c r="O917" s="91"/>
      <c r="P917" s="91"/>
      <c r="Q917" s="91"/>
      <c r="R917" s="91"/>
      <c r="S917" s="91"/>
      <c r="T917" s="91"/>
      <c r="U917" s="91"/>
      <c r="V917" s="91"/>
      <c r="W917" s="91"/>
      <c r="X917" s="91"/>
      <c r="Y917" s="91"/>
      <c r="Z917" s="91"/>
    </row>
    <row r="918" ht="24.0" customHeight="1">
      <c r="B918" s="90"/>
      <c r="C918" s="90"/>
      <c r="D918" s="90"/>
      <c r="E918" s="90"/>
      <c r="F918" s="90"/>
      <c r="G918" s="90"/>
      <c r="H918" s="90"/>
      <c r="I918" s="90"/>
      <c r="J918" s="90"/>
      <c r="K918" s="90"/>
      <c r="L918" s="90"/>
      <c r="M918" s="91"/>
      <c r="N918" s="91"/>
      <c r="O918" s="91"/>
      <c r="P918" s="91"/>
      <c r="Q918" s="91"/>
      <c r="R918" s="91"/>
      <c r="S918" s="91"/>
      <c r="T918" s="91"/>
      <c r="U918" s="91"/>
      <c r="V918" s="91"/>
      <c r="W918" s="91"/>
      <c r="X918" s="91"/>
      <c r="Y918" s="91"/>
      <c r="Z918" s="91"/>
    </row>
    <row r="919" ht="24.0" customHeight="1">
      <c r="B919" s="90"/>
      <c r="C919" s="90"/>
      <c r="D919" s="90"/>
      <c r="E919" s="90"/>
      <c r="F919" s="90"/>
      <c r="G919" s="90"/>
      <c r="H919" s="90"/>
      <c r="I919" s="90"/>
      <c r="J919" s="90"/>
      <c r="K919" s="90"/>
      <c r="L919" s="90"/>
      <c r="M919" s="91"/>
      <c r="N919" s="91"/>
      <c r="O919" s="91"/>
      <c r="P919" s="91"/>
      <c r="Q919" s="91"/>
      <c r="R919" s="91"/>
      <c r="S919" s="91"/>
      <c r="T919" s="91"/>
      <c r="U919" s="91"/>
      <c r="V919" s="91"/>
      <c r="W919" s="91"/>
      <c r="X919" s="91"/>
      <c r="Y919" s="91"/>
      <c r="Z919" s="91"/>
    </row>
    <row r="920" ht="24.0" customHeight="1">
      <c r="B920" s="90"/>
      <c r="C920" s="90"/>
      <c r="D920" s="90"/>
      <c r="E920" s="90"/>
      <c r="F920" s="90"/>
      <c r="G920" s="90"/>
      <c r="H920" s="90"/>
      <c r="I920" s="90"/>
      <c r="J920" s="90"/>
      <c r="K920" s="90"/>
      <c r="L920" s="90"/>
      <c r="M920" s="91"/>
      <c r="N920" s="91"/>
      <c r="O920" s="91"/>
      <c r="P920" s="91"/>
      <c r="Q920" s="91"/>
      <c r="R920" s="91"/>
      <c r="S920" s="91"/>
      <c r="T920" s="91"/>
      <c r="U920" s="91"/>
      <c r="V920" s="91"/>
      <c r="W920" s="91"/>
      <c r="X920" s="91"/>
      <c r="Y920" s="91"/>
      <c r="Z920" s="91"/>
    </row>
    <row r="921" ht="24.0" customHeight="1">
      <c r="B921" s="90"/>
      <c r="C921" s="90"/>
      <c r="D921" s="90"/>
      <c r="E921" s="90"/>
      <c r="F921" s="90"/>
      <c r="G921" s="90"/>
      <c r="H921" s="90"/>
      <c r="I921" s="90"/>
      <c r="J921" s="90"/>
      <c r="K921" s="90"/>
      <c r="L921" s="90"/>
      <c r="M921" s="91"/>
      <c r="N921" s="91"/>
      <c r="O921" s="91"/>
      <c r="P921" s="91"/>
      <c r="Q921" s="91"/>
      <c r="R921" s="91"/>
      <c r="S921" s="91"/>
      <c r="T921" s="91"/>
      <c r="U921" s="91"/>
      <c r="V921" s="91"/>
      <c r="W921" s="91"/>
      <c r="X921" s="91"/>
      <c r="Y921" s="91"/>
      <c r="Z921" s="91"/>
    </row>
    <row r="922" ht="24.0" customHeight="1">
      <c r="B922" s="90"/>
      <c r="C922" s="90"/>
      <c r="D922" s="90"/>
      <c r="E922" s="90"/>
      <c r="F922" s="90"/>
      <c r="G922" s="90"/>
      <c r="H922" s="90"/>
      <c r="I922" s="90"/>
      <c r="J922" s="90"/>
      <c r="K922" s="90"/>
      <c r="L922" s="90"/>
      <c r="M922" s="91"/>
      <c r="N922" s="91"/>
      <c r="O922" s="91"/>
      <c r="P922" s="91"/>
      <c r="Q922" s="91"/>
      <c r="R922" s="91"/>
      <c r="S922" s="91"/>
      <c r="T922" s="91"/>
      <c r="U922" s="91"/>
      <c r="V922" s="91"/>
      <c r="W922" s="91"/>
      <c r="X922" s="91"/>
      <c r="Y922" s="91"/>
      <c r="Z922" s="91"/>
    </row>
    <row r="923" ht="24.0" customHeight="1">
      <c r="B923" s="90"/>
      <c r="C923" s="90"/>
      <c r="D923" s="90"/>
      <c r="E923" s="90"/>
      <c r="F923" s="90"/>
      <c r="G923" s="90"/>
      <c r="H923" s="90"/>
      <c r="I923" s="90"/>
      <c r="J923" s="90"/>
      <c r="K923" s="90"/>
      <c r="L923" s="90"/>
      <c r="M923" s="91"/>
      <c r="N923" s="91"/>
      <c r="O923" s="91"/>
      <c r="P923" s="91"/>
      <c r="Q923" s="91"/>
      <c r="R923" s="91"/>
      <c r="S923" s="91"/>
      <c r="T923" s="91"/>
      <c r="U923" s="91"/>
      <c r="V923" s="91"/>
      <c r="W923" s="91"/>
      <c r="X923" s="91"/>
      <c r="Y923" s="91"/>
      <c r="Z923" s="91"/>
    </row>
    <row r="924" ht="24.0" customHeight="1">
      <c r="B924" s="90"/>
      <c r="C924" s="90"/>
      <c r="D924" s="90"/>
      <c r="E924" s="90"/>
      <c r="F924" s="90"/>
      <c r="G924" s="90"/>
      <c r="H924" s="90"/>
      <c r="I924" s="90"/>
      <c r="J924" s="90"/>
      <c r="K924" s="90"/>
      <c r="L924" s="90"/>
      <c r="M924" s="91"/>
      <c r="N924" s="91"/>
      <c r="O924" s="91"/>
      <c r="P924" s="91"/>
      <c r="Q924" s="91"/>
      <c r="R924" s="91"/>
      <c r="S924" s="91"/>
      <c r="T924" s="91"/>
      <c r="U924" s="91"/>
      <c r="V924" s="91"/>
      <c r="W924" s="91"/>
      <c r="X924" s="91"/>
      <c r="Y924" s="91"/>
      <c r="Z924" s="91"/>
    </row>
    <row r="925" ht="24.0" customHeight="1">
      <c r="B925" s="90"/>
      <c r="C925" s="90"/>
      <c r="D925" s="90"/>
      <c r="E925" s="90"/>
      <c r="F925" s="90"/>
      <c r="G925" s="90"/>
      <c r="H925" s="90"/>
      <c r="I925" s="90"/>
      <c r="J925" s="90"/>
      <c r="K925" s="90"/>
      <c r="L925" s="90"/>
      <c r="M925" s="91"/>
      <c r="N925" s="91"/>
      <c r="O925" s="91"/>
      <c r="P925" s="91"/>
      <c r="Q925" s="91"/>
      <c r="R925" s="91"/>
      <c r="S925" s="91"/>
      <c r="T925" s="91"/>
      <c r="U925" s="91"/>
      <c r="V925" s="91"/>
      <c r="W925" s="91"/>
      <c r="X925" s="91"/>
      <c r="Y925" s="91"/>
      <c r="Z925" s="91"/>
    </row>
    <row r="926" ht="24.0" customHeight="1">
      <c r="B926" s="90"/>
      <c r="C926" s="90"/>
      <c r="D926" s="90"/>
      <c r="E926" s="90"/>
      <c r="F926" s="90"/>
      <c r="G926" s="90"/>
      <c r="H926" s="90"/>
      <c r="I926" s="90"/>
      <c r="J926" s="90"/>
      <c r="K926" s="90"/>
      <c r="L926" s="90"/>
      <c r="M926" s="91"/>
      <c r="N926" s="91"/>
      <c r="O926" s="91"/>
      <c r="P926" s="91"/>
      <c r="Q926" s="91"/>
      <c r="R926" s="91"/>
      <c r="S926" s="91"/>
      <c r="T926" s="91"/>
      <c r="U926" s="91"/>
      <c r="V926" s="91"/>
      <c r="W926" s="91"/>
      <c r="X926" s="91"/>
      <c r="Y926" s="91"/>
      <c r="Z926" s="91"/>
    </row>
    <row r="927" ht="24.0" customHeight="1">
      <c r="B927" s="90"/>
      <c r="C927" s="90"/>
      <c r="D927" s="90"/>
      <c r="E927" s="90"/>
      <c r="F927" s="90"/>
      <c r="G927" s="90"/>
      <c r="H927" s="90"/>
      <c r="I927" s="90"/>
      <c r="J927" s="90"/>
      <c r="K927" s="90"/>
      <c r="L927" s="90"/>
      <c r="M927" s="91"/>
      <c r="N927" s="91"/>
      <c r="O927" s="91"/>
      <c r="P927" s="91"/>
      <c r="Q927" s="91"/>
      <c r="R927" s="91"/>
      <c r="S927" s="91"/>
      <c r="T927" s="91"/>
      <c r="U927" s="91"/>
      <c r="V927" s="91"/>
      <c r="W927" s="91"/>
      <c r="X927" s="91"/>
      <c r="Y927" s="91"/>
      <c r="Z927" s="91"/>
    </row>
    <row r="928" ht="24.0" customHeight="1">
      <c r="B928" s="90"/>
      <c r="C928" s="90"/>
      <c r="D928" s="90"/>
      <c r="E928" s="90"/>
      <c r="F928" s="90"/>
      <c r="G928" s="90"/>
      <c r="H928" s="90"/>
      <c r="I928" s="90"/>
      <c r="J928" s="90"/>
      <c r="K928" s="90"/>
      <c r="L928" s="90"/>
      <c r="M928" s="91"/>
      <c r="N928" s="91"/>
      <c r="O928" s="91"/>
      <c r="P928" s="91"/>
      <c r="Q928" s="91"/>
      <c r="R928" s="91"/>
      <c r="S928" s="91"/>
      <c r="T928" s="91"/>
      <c r="U928" s="91"/>
      <c r="V928" s="91"/>
      <c r="W928" s="91"/>
      <c r="X928" s="91"/>
      <c r="Y928" s="91"/>
      <c r="Z928" s="91"/>
    </row>
    <row r="929" ht="24.0" customHeight="1">
      <c r="B929" s="90"/>
      <c r="C929" s="90"/>
      <c r="D929" s="90"/>
      <c r="E929" s="90"/>
      <c r="F929" s="90"/>
      <c r="G929" s="90"/>
      <c r="H929" s="90"/>
      <c r="I929" s="90"/>
      <c r="J929" s="90"/>
      <c r="K929" s="90"/>
      <c r="L929" s="90"/>
      <c r="M929" s="91"/>
      <c r="N929" s="91"/>
      <c r="O929" s="91"/>
      <c r="P929" s="91"/>
      <c r="Q929" s="91"/>
      <c r="R929" s="91"/>
      <c r="S929" s="91"/>
      <c r="T929" s="91"/>
      <c r="U929" s="91"/>
      <c r="V929" s="91"/>
      <c r="W929" s="91"/>
      <c r="X929" s="91"/>
      <c r="Y929" s="91"/>
      <c r="Z929" s="91"/>
    </row>
    <row r="930" ht="24.0" customHeight="1">
      <c r="B930" s="90"/>
      <c r="C930" s="90"/>
      <c r="D930" s="90"/>
      <c r="E930" s="90"/>
      <c r="F930" s="90"/>
      <c r="G930" s="90"/>
      <c r="H930" s="90"/>
      <c r="I930" s="90"/>
      <c r="J930" s="90"/>
      <c r="K930" s="90"/>
      <c r="L930" s="90"/>
      <c r="M930" s="91"/>
      <c r="N930" s="91"/>
      <c r="O930" s="91"/>
      <c r="P930" s="91"/>
      <c r="Q930" s="91"/>
      <c r="R930" s="91"/>
      <c r="S930" s="91"/>
      <c r="T930" s="91"/>
      <c r="U930" s="91"/>
      <c r="V930" s="91"/>
      <c r="W930" s="91"/>
      <c r="X930" s="91"/>
      <c r="Y930" s="91"/>
      <c r="Z930" s="91"/>
    </row>
    <row r="931" ht="24.0" customHeight="1">
      <c r="B931" s="90"/>
      <c r="C931" s="90"/>
      <c r="D931" s="90"/>
      <c r="E931" s="90"/>
      <c r="F931" s="90"/>
      <c r="G931" s="90"/>
      <c r="H931" s="90"/>
      <c r="I931" s="90"/>
      <c r="J931" s="90"/>
      <c r="K931" s="90"/>
      <c r="L931" s="90"/>
      <c r="M931" s="91"/>
      <c r="N931" s="91"/>
      <c r="O931" s="91"/>
      <c r="P931" s="91"/>
      <c r="Q931" s="91"/>
      <c r="R931" s="91"/>
      <c r="S931" s="91"/>
      <c r="T931" s="91"/>
      <c r="U931" s="91"/>
      <c r="V931" s="91"/>
      <c r="W931" s="91"/>
      <c r="X931" s="91"/>
      <c r="Y931" s="91"/>
      <c r="Z931" s="91"/>
    </row>
    <row r="932" ht="24.0" customHeight="1">
      <c r="B932" s="90"/>
      <c r="C932" s="90"/>
      <c r="D932" s="90"/>
      <c r="E932" s="90"/>
      <c r="F932" s="90"/>
      <c r="G932" s="90"/>
      <c r="H932" s="90"/>
      <c r="I932" s="90"/>
      <c r="J932" s="90"/>
      <c r="K932" s="90"/>
      <c r="L932" s="90"/>
      <c r="M932" s="91"/>
      <c r="N932" s="91"/>
      <c r="O932" s="91"/>
      <c r="P932" s="91"/>
      <c r="Q932" s="91"/>
      <c r="R932" s="91"/>
      <c r="S932" s="91"/>
      <c r="T932" s="91"/>
      <c r="U932" s="91"/>
      <c r="V932" s="91"/>
      <c r="W932" s="91"/>
      <c r="X932" s="91"/>
      <c r="Y932" s="91"/>
      <c r="Z932" s="91"/>
    </row>
    <row r="933" ht="24.0" customHeight="1">
      <c r="B933" s="90"/>
      <c r="C933" s="90"/>
      <c r="D933" s="90"/>
      <c r="E933" s="90"/>
      <c r="F933" s="90"/>
      <c r="G933" s="90"/>
      <c r="H933" s="90"/>
      <c r="I933" s="90"/>
      <c r="J933" s="90"/>
      <c r="K933" s="90"/>
      <c r="L933" s="90"/>
      <c r="M933" s="91"/>
      <c r="N933" s="91"/>
      <c r="O933" s="91"/>
      <c r="P933" s="91"/>
      <c r="Q933" s="91"/>
      <c r="R933" s="91"/>
      <c r="S933" s="91"/>
      <c r="T933" s="91"/>
      <c r="U933" s="91"/>
      <c r="V933" s="91"/>
      <c r="W933" s="91"/>
      <c r="X933" s="91"/>
      <c r="Y933" s="91"/>
      <c r="Z933" s="91"/>
    </row>
    <row r="934" ht="24.0" customHeight="1">
      <c r="B934" s="90"/>
      <c r="C934" s="90"/>
      <c r="D934" s="90"/>
      <c r="E934" s="90"/>
      <c r="F934" s="90"/>
      <c r="G934" s="90"/>
      <c r="H934" s="90"/>
      <c r="I934" s="90"/>
      <c r="J934" s="90"/>
      <c r="K934" s="90"/>
      <c r="L934" s="90"/>
      <c r="M934" s="91"/>
      <c r="N934" s="91"/>
      <c r="O934" s="91"/>
      <c r="P934" s="91"/>
      <c r="Q934" s="91"/>
      <c r="R934" s="91"/>
      <c r="S934" s="91"/>
      <c r="T934" s="91"/>
      <c r="U934" s="91"/>
      <c r="V934" s="91"/>
      <c r="W934" s="91"/>
      <c r="X934" s="91"/>
      <c r="Y934" s="91"/>
      <c r="Z934" s="91"/>
    </row>
    <row r="935" ht="24.0" customHeight="1">
      <c r="B935" s="90"/>
      <c r="C935" s="90"/>
      <c r="D935" s="90"/>
      <c r="E935" s="90"/>
      <c r="F935" s="90"/>
      <c r="G935" s="90"/>
      <c r="H935" s="90"/>
      <c r="I935" s="90"/>
      <c r="J935" s="90"/>
      <c r="K935" s="90"/>
      <c r="L935" s="90"/>
      <c r="M935" s="91"/>
      <c r="N935" s="91"/>
      <c r="O935" s="91"/>
      <c r="P935" s="91"/>
      <c r="Q935" s="91"/>
      <c r="R935" s="91"/>
      <c r="S935" s="91"/>
      <c r="T935" s="91"/>
      <c r="U935" s="91"/>
      <c r="V935" s="91"/>
      <c r="W935" s="91"/>
      <c r="X935" s="91"/>
      <c r="Y935" s="91"/>
      <c r="Z935" s="91"/>
    </row>
    <row r="936" ht="24.0" customHeight="1">
      <c r="B936" s="90"/>
      <c r="C936" s="90"/>
      <c r="D936" s="90"/>
      <c r="E936" s="90"/>
      <c r="F936" s="90"/>
      <c r="G936" s="90"/>
      <c r="H936" s="90"/>
      <c r="I936" s="90"/>
      <c r="J936" s="90"/>
      <c r="K936" s="90"/>
      <c r="L936" s="90"/>
      <c r="M936" s="91"/>
      <c r="N936" s="91"/>
      <c r="O936" s="91"/>
      <c r="P936" s="91"/>
      <c r="Q936" s="91"/>
      <c r="R936" s="91"/>
      <c r="S936" s="91"/>
      <c r="T936" s="91"/>
      <c r="U936" s="91"/>
      <c r="V936" s="91"/>
      <c r="W936" s="91"/>
      <c r="X936" s="91"/>
      <c r="Y936" s="91"/>
      <c r="Z936" s="91"/>
    </row>
    <row r="937" ht="24.0" customHeight="1">
      <c r="B937" s="90"/>
      <c r="C937" s="90"/>
      <c r="D937" s="90"/>
      <c r="E937" s="90"/>
      <c r="F937" s="90"/>
      <c r="G937" s="90"/>
      <c r="H937" s="90"/>
      <c r="I937" s="90"/>
      <c r="J937" s="90"/>
      <c r="K937" s="90"/>
      <c r="L937" s="90"/>
      <c r="M937" s="91"/>
      <c r="N937" s="91"/>
      <c r="O937" s="91"/>
      <c r="P937" s="91"/>
      <c r="Q937" s="91"/>
      <c r="R937" s="91"/>
      <c r="S937" s="91"/>
      <c r="T937" s="91"/>
      <c r="U937" s="91"/>
      <c r="V937" s="91"/>
      <c r="W937" s="91"/>
      <c r="X937" s="91"/>
      <c r="Y937" s="91"/>
      <c r="Z937" s="91"/>
    </row>
    <row r="938" ht="24.0" customHeight="1">
      <c r="B938" s="90"/>
      <c r="C938" s="90"/>
      <c r="D938" s="90"/>
      <c r="E938" s="90"/>
      <c r="F938" s="90"/>
      <c r="G938" s="90"/>
      <c r="H938" s="90"/>
      <c r="I938" s="90"/>
      <c r="J938" s="90"/>
      <c r="K938" s="90"/>
      <c r="L938" s="90"/>
      <c r="M938" s="91"/>
      <c r="N938" s="91"/>
      <c r="O938" s="91"/>
      <c r="P938" s="91"/>
      <c r="Q938" s="91"/>
      <c r="R938" s="91"/>
      <c r="S938" s="91"/>
      <c r="T938" s="91"/>
      <c r="U938" s="91"/>
      <c r="V938" s="91"/>
      <c r="W938" s="91"/>
      <c r="X938" s="91"/>
      <c r="Y938" s="91"/>
      <c r="Z938" s="91"/>
    </row>
    <row r="939" ht="24.0" customHeight="1">
      <c r="B939" s="90"/>
      <c r="C939" s="90"/>
      <c r="D939" s="90"/>
      <c r="E939" s="90"/>
      <c r="F939" s="90"/>
      <c r="G939" s="90"/>
      <c r="H939" s="90"/>
      <c r="I939" s="90"/>
      <c r="J939" s="90"/>
      <c r="K939" s="90"/>
      <c r="L939" s="90"/>
      <c r="M939" s="91"/>
      <c r="N939" s="91"/>
      <c r="O939" s="91"/>
      <c r="P939" s="91"/>
      <c r="Q939" s="91"/>
      <c r="R939" s="91"/>
      <c r="S939" s="91"/>
      <c r="T939" s="91"/>
      <c r="U939" s="91"/>
      <c r="V939" s="91"/>
      <c r="W939" s="91"/>
      <c r="X939" s="91"/>
      <c r="Y939" s="91"/>
      <c r="Z939" s="91"/>
    </row>
    <row r="940" ht="24.0" customHeight="1">
      <c r="B940" s="90"/>
      <c r="C940" s="90"/>
      <c r="D940" s="90"/>
      <c r="E940" s="90"/>
      <c r="F940" s="90"/>
      <c r="G940" s="90"/>
      <c r="H940" s="90"/>
      <c r="I940" s="90"/>
      <c r="J940" s="90"/>
      <c r="K940" s="90"/>
      <c r="L940" s="90"/>
      <c r="M940" s="91"/>
      <c r="N940" s="91"/>
      <c r="O940" s="91"/>
      <c r="P940" s="91"/>
      <c r="Q940" s="91"/>
      <c r="R940" s="91"/>
      <c r="S940" s="91"/>
      <c r="T940" s="91"/>
      <c r="U940" s="91"/>
      <c r="V940" s="91"/>
      <c r="W940" s="91"/>
      <c r="X940" s="91"/>
      <c r="Y940" s="91"/>
      <c r="Z940" s="91"/>
    </row>
    <row r="941" ht="24.0" customHeight="1">
      <c r="B941" s="90"/>
      <c r="C941" s="90"/>
      <c r="D941" s="90"/>
      <c r="E941" s="90"/>
      <c r="F941" s="90"/>
      <c r="G941" s="90"/>
      <c r="H941" s="90"/>
      <c r="I941" s="90"/>
      <c r="J941" s="90"/>
      <c r="K941" s="90"/>
      <c r="L941" s="90"/>
      <c r="M941" s="91"/>
      <c r="N941" s="91"/>
      <c r="O941" s="91"/>
      <c r="P941" s="91"/>
      <c r="Q941" s="91"/>
      <c r="R941" s="91"/>
      <c r="S941" s="91"/>
      <c r="T941" s="91"/>
      <c r="U941" s="91"/>
      <c r="V941" s="91"/>
      <c r="W941" s="91"/>
      <c r="X941" s="91"/>
      <c r="Y941" s="91"/>
      <c r="Z941" s="91"/>
    </row>
    <row r="942" ht="24.0" customHeight="1">
      <c r="B942" s="90"/>
      <c r="C942" s="90"/>
      <c r="D942" s="90"/>
      <c r="E942" s="90"/>
      <c r="F942" s="90"/>
      <c r="G942" s="90"/>
      <c r="H942" s="90"/>
      <c r="I942" s="90"/>
      <c r="J942" s="90"/>
      <c r="K942" s="90"/>
      <c r="L942" s="90"/>
      <c r="M942" s="91"/>
      <c r="N942" s="91"/>
      <c r="O942" s="91"/>
      <c r="P942" s="91"/>
      <c r="Q942" s="91"/>
      <c r="R942" s="91"/>
      <c r="S942" s="91"/>
      <c r="T942" s="91"/>
      <c r="U942" s="91"/>
      <c r="V942" s="91"/>
      <c r="W942" s="91"/>
      <c r="X942" s="91"/>
      <c r="Y942" s="91"/>
      <c r="Z942" s="91"/>
    </row>
    <row r="943" ht="24.0" customHeight="1">
      <c r="B943" s="90"/>
      <c r="C943" s="90"/>
      <c r="D943" s="90"/>
      <c r="E943" s="90"/>
      <c r="F943" s="90"/>
      <c r="G943" s="90"/>
      <c r="H943" s="90"/>
      <c r="I943" s="90"/>
      <c r="J943" s="90"/>
      <c r="K943" s="90"/>
      <c r="L943" s="90"/>
      <c r="M943" s="91"/>
      <c r="N943" s="91"/>
      <c r="O943" s="91"/>
      <c r="P943" s="91"/>
      <c r="Q943" s="91"/>
      <c r="R943" s="91"/>
      <c r="S943" s="91"/>
      <c r="T943" s="91"/>
      <c r="U943" s="91"/>
      <c r="V943" s="91"/>
      <c r="W943" s="91"/>
      <c r="X943" s="91"/>
      <c r="Y943" s="91"/>
      <c r="Z943" s="91"/>
    </row>
    <row r="944" ht="24.0" customHeight="1">
      <c r="B944" s="90"/>
      <c r="C944" s="90"/>
      <c r="D944" s="90"/>
      <c r="E944" s="90"/>
      <c r="F944" s="90"/>
      <c r="G944" s="90"/>
      <c r="H944" s="90"/>
      <c r="I944" s="90"/>
      <c r="J944" s="90"/>
      <c r="K944" s="90"/>
      <c r="L944" s="90"/>
      <c r="M944" s="91"/>
      <c r="N944" s="91"/>
      <c r="O944" s="91"/>
      <c r="P944" s="91"/>
      <c r="Q944" s="91"/>
      <c r="R944" s="91"/>
      <c r="S944" s="91"/>
      <c r="T944" s="91"/>
      <c r="U944" s="91"/>
      <c r="V944" s="91"/>
      <c r="W944" s="91"/>
      <c r="X944" s="91"/>
      <c r="Y944" s="91"/>
      <c r="Z944" s="91"/>
    </row>
    <row r="945" ht="24.0" customHeight="1">
      <c r="B945" s="90"/>
      <c r="C945" s="90"/>
      <c r="D945" s="90"/>
      <c r="E945" s="90"/>
      <c r="F945" s="90"/>
      <c r="G945" s="90"/>
      <c r="H945" s="90"/>
      <c r="I945" s="90"/>
      <c r="J945" s="90"/>
      <c r="K945" s="90"/>
      <c r="L945" s="90"/>
      <c r="M945" s="91"/>
      <c r="N945" s="91"/>
      <c r="O945" s="91"/>
      <c r="P945" s="91"/>
      <c r="Q945" s="91"/>
      <c r="R945" s="91"/>
      <c r="S945" s="91"/>
      <c r="T945" s="91"/>
      <c r="U945" s="91"/>
      <c r="V945" s="91"/>
      <c r="W945" s="91"/>
      <c r="X945" s="91"/>
      <c r="Y945" s="91"/>
      <c r="Z945" s="91"/>
    </row>
    <row r="946" ht="24.0" customHeight="1">
      <c r="B946" s="90"/>
      <c r="C946" s="90"/>
      <c r="D946" s="90"/>
      <c r="E946" s="90"/>
      <c r="F946" s="90"/>
      <c r="G946" s="90"/>
      <c r="H946" s="90"/>
      <c r="I946" s="90"/>
      <c r="J946" s="90"/>
      <c r="K946" s="90"/>
      <c r="L946" s="90"/>
      <c r="M946" s="91"/>
      <c r="N946" s="91"/>
      <c r="O946" s="91"/>
      <c r="P946" s="91"/>
      <c r="Q946" s="91"/>
      <c r="R946" s="91"/>
      <c r="S946" s="91"/>
      <c r="T946" s="91"/>
      <c r="U946" s="91"/>
      <c r="V946" s="91"/>
      <c r="W946" s="91"/>
      <c r="X946" s="91"/>
      <c r="Y946" s="91"/>
      <c r="Z946" s="91"/>
    </row>
    <row r="947" ht="24.0" customHeight="1">
      <c r="B947" s="90"/>
      <c r="C947" s="90"/>
      <c r="D947" s="90"/>
      <c r="E947" s="90"/>
      <c r="F947" s="90"/>
      <c r="G947" s="90"/>
      <c r="H947" s="90"/>
      <c r="I947" s="90"/>
      <c r="J947" s="90"/>
      <c r="K947" s="90"/>
      <c r="L947" s="90"/>
      <c r="M947" s="91"/>
      <c r="N947" s="91"/>
      <c r="O947" s="91"/>
      <c r="P947" s="91"/>
      <c r="Q947" s="91"/>
      <c r="R947" s="91"/>
      <c r="S947" s="91"/>
      <c r="T947" s="91"/>
      <c r="U947" s="91"/>
      <c r="V947" s="91"/>
      <c r="W947" s="91"/>
      <c r="X947" s="91"/>
      <c r="Y947" s="91"/>
      <c r="Z947" s="91"/>
    </row>
    <row r="948" ht="24.0" customHeight="1">
      <c r="B948" s="90"/>
      <c r="C948" s="90"/>
      <c r="D948" s="90"/>
      <c r="E948" s="90"/>
      <c r="F948" s="90"/>
      <c r="G948" s="90"/>
      <c r="H948" s="90"/>
      <c r="I948" s="90"/>
      <c r="J948" s="90"/>
      <c r="K948" s="90"/>
      <c r="L948" s="90"/>
      <c r="M948" s="91"/>
      <c r="N948" s="91"/>
      <c r="O948" s="91"/>
      <c r="P948" s="91"/>
      <c r="Q948" s="91"/>
      <c r="R948" s="91"/>
      <c r="S948" s="91"/>
      <c r="T948" s="91"/>
      <c r="U948" s="91"/>
      <c r="V948" s="91"/>
      <c r="W948" s="91"/>
      <c r="X948" s="91"/>
      <c r="Y948" s="91"/>
      <c r="Z948" s="91"/>
    </row>
    <row r="949" ht="24.0" customHeight="1">
      <c r="B949" s="90"/>
      <c r="C949" s="90"/>
      <c r="D949" s="90"/>
      <c r="E949" s="90"/>
      <c r="F949" s="90"/>
      <c r="G949" s="90"/>
      <c r="H949" s="90"/>
      <c r="I949" s="90"/>
      <c r="J949" s="90"/>
      <c r="K949" s="90"/>
      <c r="L949" s="90"/>
      <c r="M949" s="91"/>
      <c r="N949" s="91"/>
      <c r="O949" s="91"/>
      <c r="P949" s="91"/>
      <c r="Q949" s="91"/>
      <c r="R949" s="91"/>
      <c r="S949" s="91"/>
      <c r="T949" s="91"/>
      <c r="U949" s="91"/>
      <c r="V949" s="91"/>
      <c r="W949" s="91"/>
      <c r="X949" s="91"/>
      <c r="Y949" s="91"/>
      <c r="Z949" s="91"/>
    </row>
    <row r="950" ht="24.0" customHeight="1">
      <c r="B950" s="90"/>
      <c r="C950" s="90"/>
      <c r="D950" s="90"/>
      <c r="E950" s="90"/>
      <c r="F950" s="90"/>
      <c r="G950" s="90"/>
      <c r="H950" s="90"/>
      <c r="I950" s="90"/>
      <c r="J950" s="90"/>
      <c r="K950" s="90"/>
      <c r="L950" s="90"/>
      <c r="M950" s="91"/>
      <c r="N950" s="91"/>
      <c r="O950" s="91"/>
      <c r="P950" s="91"/>
      <c r="Q950" s="91"/>
      <c r="R950" s="91"/>
      <c r="S950" s="91"/>
      <c r="T950" s="91"/>
      <c r="U950" s="91"/>
      <c r="V950" s="91"/>
      <c r="W950" s="91"/>
      <c r="X950" s="91"/>
      <c r="Y950" s="91"/>
      <c r="Z950" s="91"/>
    </row>
    <row r="951" ht="24.0" customHeight="1">
      <c r="B951" s="90"/>
      <c r="C951" s="90"/>
      <c r="D951" s="90"/>
      <c r="E951" s="90"/>
      <c r="F951" s="90"/>
      <c r="G951" s="90"/>
      <c r="H951" s="90"/>
      <c r="I951" s="90"/>
      <c r="J951" s="90"/>
      <c r="K951" s="90"/>
      <c r="L951" s="90"/>
      <c r="M951" s="91"/>
      <c r="N951" s="91"/>
      <c r="O951" s="91"/>
      <c r="P951" s="91"/>
      <c r="Q951" s="91"/>
      <c r="R951" s="91"/>
      <c r="S951" s="91"/>
      <c r="T951" s="91"/>
      <c r="U951" s="91"/>
      <c r="V951" s="91"/>
      <c r="W951" s="91"/>
      <c r="X951" s="91"/>
      <c r="Y951" s="91"/>
      <c r="Z951" s="91"/>
    </row>
    <row r="952" ht="24.0" customHeight="1">
      <c r="B952" s="90"/>
      <c r="C952" s="90"/>
      <c r="D952" s="90"/>
      <c r="E952" s="90"/>
      <c r="F952" s="90"/>
      <c r="G952" s="90"/>
      <c r="H952" s="90"/>
      <c r="I952" s="90"/>
      <c r="J952" s="90"/>
      <c r="K952" s="90"/>
      <c r="L952" s="90"/>
      <c r="M952" s="91"/>
      <c r="N952" s="91"/>
      <c r="O952" s="91"/>
      <c r="P952" s="91"/>
      <c r="Q952" s="91"/>
      <c r="R952" s="91"/>
      <c r="S952" s="91"/>
      <c r="T952" s="91"/>
      <c r="U952" s="91"/>
      <c r="V952" s="91"/>
      <c r="W952" s="91"/>
      <c r="X952" s="91"/>
      <c r="Y952" s="91"/>
      <c r="Z952" s="91"/>
    </row>
    <row r="953" ht="24.0" customHeight="1">
      <c r="B953" s="90"/>
      <c r="C953" s="90"/>
      <c r="D953" s="90"/>
      <c r="E953" s="90"/>
      <c r="F953" s="90"/>
      <c r="G953" s="90"/>
      <c r="H953" s="90"/>
      <c r="I953" s="90"/>
      <c r="J953" s="90"/>
      <c r="K953" s="90"/>
      <c r="L953" s="90"/>
      <c r="M953" s="91"/>
      <c r="N953" s="91"/>
      <c r="O953" s="91"/>
      <c r="P953" s="91"/>
      <c r="Q953" s="91"/>
      <c r="R953" s="91"/>
      <c r="S953" s="91"/>
      <c r="T953" s="91"/>
      <c r="U953" s="91"/>
      <c r="V953" s="91"/>
      <c r="W953" s="91"/>
      <c r="X953" s="91"/>
      <c r="Y953" s="91"/>
      <c r="Z953" s="91"/>
    </row>
    <row r="954" ht="24.0" customHeight="1">
      <c r="B954" s="90"/>
      <c r="C954" s="90"/>
      <c r="D954" s="90"/>
      <c r="E954" s="90"/>
      <c r="F954" s="90"/>
      <c r="G954" s="90"/>
      <c r="H954" s="90"/>
      <c r="I954" s="90"/>
      <c r="J954" s="90"/>
      <c r="K954" s="90"/>
      <c r="L954" s="90"/>
      <c r="M954" s="91"/>
      <c r="N954" s="91"/>
      <c r="O954" s="91"/>
      <c r="P954" s="91"/>
      <c r="Q954" s="91"/>
      <c r="R954" s="91"/>
      <c r="S954" s="91"/>
      <c r="T954" s="91"/>
      <c r="U954" s="91"/>
      <c r="V954" s="91"/>
      <c r="W954" s="91"/>
      <c r="X954" s="91"/>
      <c r="Y954" s="91"/>
      <c r="Z954" s="91"/>
    </row>
    <row r="955" ht="24.0" customHeight="1">
      <c r="B955" s="90"/>
      <c r="C955" s="90"/>
      <c r="D955" s="90"/>
      <c r="E955" s="90"/>
      <c r="F955" s="90"/>
      <c r="G955" s="90"/>
      <c r="H955" s="90"/>
      <c r="I955" s="90"/>
      <c r="J955" s="90"/>
      <c r="K955" s="90"/>
      <c r="L955" s="90"/>
      <c r="M955" s="91"/>
      <c r="N955" s="91"/>
      <c r="O955" s="91"/>
      <c r="P955" s="91"/>
      <c r="Q955" s="91"/>
      <c r="R955" s="91"/>
      <c r="S955" s="91"/>
      <c r="T955" s="91"/>
      <c r="U955" s="91"/>
      <c r="V955" s="91"/>
      <c r="W955" s="91"/>
      <c r="X955" s="91"/>
      <c r="Y955" s="91"/>
      <c r="Z955" s="91"/>
    </row>
    <row r="956" ht="24.0" customHeight="1">
      <c r="B956" s="90"/>
      <c r="C956" s="90"/>
      <c r="D956" s="90"/>
      <c r="E956" s="90"/>
      <c r="F956" s="90"/>
      <c r="G956" s="90"/>
      <c r="H956" s="90"/>
      <c r="I956" s="90"/>
      <c r="J956" s="90"/>
      <c r="K956" s="90"/>
      <c r="L956" s="90"/>
      <c r="M956" s="91"/>
      <c r="N956" s="91"/>
      <c r="O956" s="91"/>
      <c r="P956" s="91"/>
      <c r="Q956" s="91"/>
      <c r="R956" s="91"/>
      <c r="S956" s="91"/>
      <c r="T956" s="91"/>
      <c r="U956" s="91"/>
      <c r="V956" s="91"/>
      <c r="W956" s="91"/>
      <c r="X956" s="91"/>
      <c r="Y956" s="91"/>
      <c r="Z956" s="91"/>
    </row>
    <row r="957" ht="24.0" customHeight="1">
      <c r="B957" s="90"/>
      <c r="C957" s="90"/>
      <c r="D957" s="90"/>
      <c r="E957" s="90"/>
      <c r="F957" s="90"/>
      <c r="G957" s="90"/>
      <c r="H957" s="90"/>
      <c r="I957" s="90"/>
      <c r="J957" s="90"/>
      <c r="K957" s="90"/>
      <c r="L957" s="90"/>
      <c r="M957" s="91"/>
      <c r="N957" s="91"/>
      <c r="O957" s="91"/>
      <c r="P957" s="91"/>
      <c r="Q957" s="91"/>
      <c r="R957" s="91"/>
      <c r="S957" s="91"/>
      <c r="T957" s="91"/>
      <c r="U957" s="91"/>
      <c r="V957" s="91"/>
      <c r="W957" s="91"/>
      <c r="X957" s="91"/>
      <c r="Y957" s="91"/>
      <c r="Z957" s="91"/>
    </row>
    <row r="958" ht="24.0" customHeight="1">
      <c r="B958" s="90"/>
      <c r="C958" s="90"/>
      <c r="D958" s="90"/>
      <c r="E958" s="90"/>
      <c r="F958" s="90"/>
      <c r="G958" s="90"/>
      <c r="H958" s="90"/>
      <c r="I958" s="90"/>
      <c r="J958" s="90"/>
      <c r="K958" s="90"/>
      <c r="L958" s="90"/>
      <c r="M958" s="91"/>
      <c r="N958" s="91"/>
      <c r="O958" s="91"/>
      <c r="P958" s="91"/>
      <c r="Q958" s="91"/>
      <c r="R958" s="91"/>
      <c r="S958" s="91"/>
      <c r="T958" s="91"/>
      <c r="U958" s="91"/>
      <c r="V958" s="91"/>
      <c r="W958" s="91"/>
      <c r="X958" s="91"/>
      <c r="Y958" s="91"/>
      <c r="Z958" s="91"/>
    </row>
    <row r="959" ht="24.0" customHeight="1">
      <c r="B959" s="90"/>
      <c r="C959" s="90"/>
      <c r="D959" s="90"/>
      <c r="E959" s="90"/>
      <c r="F959" s="90"/>
      <c r="G959" s="90"/>
      <c r="H959" s="90"/>
      <c r="I959" s="90"/>
      <c r="J959" s="90"/>
      <c r="K959" s="90"/>
      <c r="L959" s="90"/>
      <c r="M959" s="91"/>
      <c r="N959" s="91"/>
      <c r="O959" s="91"/>
      <c r="P959" s="91"/>
      <c r="Q959" s="91"/>
      <c r="R959" s="91"/>
      <c r="S959" s="91"/>
      <c r="T959" s="91"/>
      <c r="U959" s="91"/>
      <c r="V959" s="91"/>
      <c r="W959" s="91"/>
      <c r="X959" s="91"/>
      <c r="Y959" s="91"/>
      <c r="Z959" s="91"/>
    </row>
    <row r="960" ht="24.0" customHeight="1">
      <c r="B960" s="90"/>
      <c r="C960" s="90"/>
      <c r="D960" s="90"/>
      <c r="E960" s="90"/>
      <c r="F960" s="90"/>
      <c r="G960" s="90"/>
      <c r="H960" s="90"/>
      <c r="I960" s="90"/>
      <c r="J960" s="90"/>
      <c r="K960" s="90"/>
      <c r="L960" s="90"/>
      <c r="M960" s="91"/>
      <c r="N960" s="91"/>
      <c r="O960" s="91"/>
      <c r="P960" s="91"/>
      <c r="Q960" s="91"/>
      <c r="R960" s="91"/>
      <c r="S960" s="91"/>
      <c r="T960" s="91"/>
      <c r="U960" s="91"/>
      <c r="V960" s="91"/>
      <c r="W960" s="91"/>
      <c r="X960" s="91"/>
      <c r="Y960" s="91"/>
      <c r="Z960" s="91"/>
    </row>
    <row r="961" ht="24.0" customHeight="1">
      <c r="B961" s="90"/>
      <c r="C961" s="90"/>
      <c r="D961" s="90"/>
      <c r="E961" s="90"/>
      <c r="F961" s="90"/>
      <c r="G961" s="90"/>
      <c r="H961" s="90"/>
      <c r="I961" s="90"/>
      <c r="J961" s="90"/>
      <c r="K961" s="90"/>
      <c r="L961" s="90"/>
      <c r="M961" s="91"/>
      <c r="N961" s="91"/>
      <c r="O961" s="91"/>
      <c r="P961" s="91"/>
      <c r="Q961" s="91"/>
      <c r="R961" s="91"/>
      <c r="S961" s="91"/>
      <c r="T961" s="91"/>
      <c r="U961" s="91"/>
      <c r="V961" s="91"/>
      <c r="W961" s="91"/>
      <c r="X961" s="91"/>
      <c r="Y961" s="91"/>
      <c r="Z961" s="91"/>
    </row>
    <row r="962" ht="24.0" customHeight="1">
      <c r="B962" s="90"/>
      <c r="C962" s="90"/>
      <c r="D962" s="90"/>
      <c r="E962" s="90"/>
      <c r="F962" s="90"/>
      <c r="G962" s="90"/>
      <c r="H962" s="90"/>
      <c r="I962" s="90"/>
      <c r="J962" s="90"/>
      <c r="K962" s="90"/>
      <c r="L962" s="90"/>
      <c r="M962" s="91"/>
      <c r="N962" s="91"/>
      <c r="O962" s="91"/>
      <c r="P962" s="91"/>
      <c r="Q962" s="91"/>
      <c r="R962" s="91"/>
      <c r="S962" s="91"/>
      <c r="T962" s="91"/>
      <c r="U962" s="91"/>
      <c r="V962" s="91"/>
      <c r="W962" s="91"/>
      <c r="X962" s="91"/>
      <c r="Y962" s="91"/>
      <c r="Z962" s="91"/>
    </row>
    <row r="963" ht="24.0" customHeight="1">
      <c r="B963" s="90"/>
      <c r="C963" s="90"/>
      <c r="D963" s="90"/>
      <c r="E963" s="90"/>
      <c r="F963" s="90"/>
      <c r="G963" s="90"/>
      <c r="H963" s="90"/>
      <c r="I963" s="90"/>
      <c r="J963" s="90"/>
      <c r="K963" s="90"/>
      <c r="L963" s="90"/>
      <c r="M963" s="91"/>
      <c r="N963" s="91"/>
      <c r="O963" s="91"/>
      <c r="P963" s="91"/>
      <c r="Q963" s="91"/>
      <c r="R963" s="91"/>
      <c r="S963" s="91"/>
      <c r="T963" s="91"/>
      <c r="U963" s="91"/>
      <c r="V963" s="91"/>
      <c r="W963" s="91"/>
      <c r="X963" s="91"/>
      <c r="Y963" s="91"/>
      <c r="Z963" s="91"/>
    </row>
    <row r="964" ht="24.0" customHeight="1">
      <c r="B964" s="90"/>
      <c r="C964" s="90"/>
      <c r="D964" s="90"/>
      <c r="E964" s="90"/>
      <c r="F964" s="90"/>
      <c r="G964" s="90"/>
      <c r="H964" s="90"/>
      <c r="I964" s="90"/>
      <c r="J964" s="90"/>
      <c r="K964" s="90"/>
      <c r="L964" s="90"/>
      <c r="M964" s="91"/>
      <c r="N964" s="91"/>
      <c r="O964" s="91"/>
      <c r="P964" s="91"/>
      <c r="Q964" s="91"/>
      <c r="R964" s="91"/>
      <c r="S964" s="91"/>
      <c r="T964" s="91"/>
      <c r="U964" s="91"/>
      <c r="V964" s="91"/>
      <c r="W964" s="91"/>
      <c r="X964" s="91"/>
      <c r="Y964" s="91"/>
      <c r="Z964" s="91"/>
    </row>
    <row r="965" ht="24.0" customHeight="1">
      <c r="B965" s="90"/>
      <c r="C965" s="90"/>
      <c r="D965" s="90"/>
      <c r="E965" s="90"/>
      <c r="F965" s="90"/>
      <c r="G965" s="90"/>
      <c r="H965" s="90"/>
      <c r="I965" s="90"/>
      <c r="J965" s="90"/>
      <c r="K965" s="90"/>
      <c r="L965" s="90"/>
      <c r="M965" s="91"/>
      <c r="N965" s="91"/>
      <c r="O965" s="91"/>
      <c r="P965" s="91"/>
      <c r="Q965" s="91"/>
      <c r="R965" s="91"/>
      <c r="S965" s="91"/>
      <c r="T965" s="91"/>
      <c r="U965" s="91"/>
      <c r="V965" s="91"/>
      <c r="W965" s="91"/>
      <c r="X965" s="91"/>
      <c r="Y965" s="91"/>
      <c r="Z965" s="91"/>
    </row>
    <row r="966" ht="24.0" customHeight="1">
      <c r="B966" s="90"/>
      <c r="C966" s="90"/>
      <c r="D966" s="90"/>
      <c r="E966" s="90"/>
      <c r="F966" s="90"/>
      <c r="G966" s="90"/>
      <c r="H966" s="90"/>
      <c r="I966" s="90"/>
      <c r="J966" s="90"/>
      <c r="K966" s="90"/>
      <c r="L966" s="90"/>
      <c r="M966" s="91"/>
      <c r="N966" s="91"/>
      <c r="O966" s="91"/>
      <c r="P966" s="91"/>
      <c r="Q966" s="91"/>
      <c r="R966" s="91"/>
      <c r="S966" s="91"/>
      <c r="T966" s="91"/>
      <c r="U966" s="91"/>
      <c r="V966" s="91"/>
      <c r="W966" s="91"/>
      <c r="X966" s="91"/>
      <c r="Y966" s="91"/>
      <c r="Z966" s="91"/>
    </row>
    <row r="967" ht="24.0" customHeight="1">
      <c r="B967" s="90"/>
      <c r="C967" s="90"/>
      <c r="D967" s="90"/>
      <c r="E967" s="90"/>
      <c r="F967" s="90"/>
      <c r="G967" s="90"/>
      <c r="H967" s="90"/>
      <c r="I967" s="90"/>
      <c r="J967" s="90"/>
      <c r="K967" s="90"/>
      <c r="L967" s="90"/>
      <c r="M967" s="91"/>
      <c r="N967" s="91"/>
      <c r="O967" s="91"/>
      <c r="P967" s="91"/>
      <c r="Q967" s="91"/>
      <c r="R967" s="91"/>
      <c r="S967" s="91"/>
      <c r="T967" s="91"/>
      <c r="U967" s="91"/>
      <c r="V967" s="91"/>
      <c r="W967" s="91"/>
      <c r="X967" s="91"/>
      <c r="Y967" s="91"/>
      <c r="Z967" s="91"/>
    </row>
    <row r="968" ht="24.0" customHeight="1">
      <c r="B968" s="90"/>
      <c r="C968" s="90"/>
      <c r="D968" s="90"/>
      <c r="E968" s="90"/>
      <c r="F968" s="90"/>
      <c r="G968" s="90"/>
      <c r="H968" s="90"/>
      <c r="I968" s="90"/>
      <c r="J968" s="90"/>
      <c r="K968" s="90"/>
      <c r="L968" s="90"/>
      <c r="M968" s="91"/>
      <c r="N968" s="91"/>
      <c r="O968" s="91"/>
      <c r="P968" s="91"/>
      <c r="Q968" s="91"/>
      <c r="R968" s="91"/>
      <c r="S968" s="91"/>
      <c r="T968" s="91"/>
      <c r="U968" s="91"/>
      <c r="V968" s="91"/>
      <c r="W968" s="91"/>
      <c r="X968" s="91"/>
      <c r="Y968" s="91"/>
      <c r="Z968" s="91"/>
    </row>
    <row r="969" ht="24.0" customHeight="1">
      <c r="B969" s="90"/>
      <c r="C969" s="90"/>
      <c r="D969" s="90"/>
      <c r="E969" s="90"/>
      <c r="F969" s="90"/>
      <c r="G969" s="90"/>
      <c r="H969" s="90"/>
      <c r="I969" s="90"/>
      <c r="J969" s="90"/>
      <c r="K969" s="90"/>
      <c r="L969" s="90"/>
      <c r="M969" s="91"/>
      <c r="N969" s="91"/>
      <c r="O969" s="91"/>
      <c r="P969" s="91"/>
      <c r="Q969" s="91"/>
      <c r="R969" s="91"/>
      <c r="S969" s="91"/>
      <c r="T969" s="91"/>
      <c r="U969" s="91"/>
      <c r="V969" s="91"/>
      <c r="W969" s="91"/>
      <c r="X969" s="91"/>
      <c r="Y969" s="91"/>
      <c r="Z969" s="91"/>
    </row>
    <row r="970" ht="24.0" customHeight="1">
      <c r="B970" s="90"/>
      <c r="C970" s="90"/>
      <c r="D970" s="90"/>
      <c r="E970" s="90"/>
      <c r="F970" s="90"/>
      <c r="G970" s="90"/>
      <c r="H970" s="90"/>
      <c r="I970" s="90"/>
      <c r="J970" s="90"/>
      <c r="K970" s="90"/>
      <c r="L970" s="90"/>
      <c r="M970" s="91"/>
      <c r="N970" s="91"/>
      <c r="O970" s="91"/>
      <c r="P970" s="91"/>
      <c r="Q970" s="91"/>
      <c r="R970" s="91"/>
      <c r="S970" s="91"/>
      <c r="T970" s="91"/>
      <c r="U970" s="91"/>
      <c r="V970" s="91"/>
      <c r="W970" s="91"/>
      <c r="X970" s="91"/>
      <c r="Y970" s="91"/>
      <c r="Z970" s="91"/>
    </row>
    <row r="971" ht="24.0" customHeight="1">
      <c r="B971" s="90"/>
      <c r="C971" s="90"/>
      <c r="D971" s="90"/>
      <c r="E971" s="90"/>
      <c r="F971" s="90"/>
      <c r="G971" s="90"/>
      <c r="H971" s="90"/>
      <c r="I971" s="90"/>
      <c r="J971" s="90"/>
      <c r="K971" s="90"/>
      <c r="L971" s="90"/>
      <c r="M971" s="91"/>
      <c r="N971" s="91"/>
      <c r="O971" s="91"/>
      <c r="P971" s="91"/>
      <c r="Q971" s="91"/>
      <c r="R971" s="91"/>
      <c r="S971" s="91"/>
      <c r="T971" s="91"/>
      <c r="U971" s="91"/>
      <c r="V971" s="91"/>
      <c r="W971" s="91"/>
      <c r="X971" s="91"/>
      <c r="Y971" s="91"/>
      <c r="Z971" s="91"/>
    </row>
    <row r="972" ht="24.0" customHeight="1">
      <c r="B972" s="90"/>
      <c r="C972" s="90"/>
      <c r="D972" s="90"/>
      <c r="E972" s="90"/>
      <c r="F972" s="90"/>
      <c r="G972" s="90"/>
      <c r="H972" s="90"/>
      <c r="I972" s="90"/>
      <c r="J972" s="90"/>
      <c r="K972" s="90"/>
      <c r="L972" s="90"/>
      <c r="M972" s="91"/>
      <c r="N972" s="91"/>
      <c r="O972" s="91"/>
      <c r="P972" s="91"/>
      <c r="Q972" s="91"/>
      <c r="R972" s="91"/>
      <c r="S972" s="91"/>
      <c r="T972" s="91"/>
      <c r="U972" s="91"/>
      <c r="V972" s="91"/>
      <c r="W972" s="91"/>
      <c r="X972" s="91"/>
      <c r="Y972" s="91"/>
      <c r="Z972" s="91"/>
    </row>
    <row r="973" ht="24.0" customHeight="1">
      <c r="B973" s="90"/>
      <c r="C973" s="90"/>
      <c r="D973" s="90"/>
      <c r="E973" s="90"/>
      <c r="F973" s="90"/>
      <c r="G973" s="90"/>
      <c r="H973" s="90"/>
      <c r="I973" s="90"/>
      <c r="J973" s="90"/>
      <c r="K973" s="90"/>
      <c r="L973" s="90"/>
      <c r="M973" s="91"/>
      <c r="N973" s="91"/>
      <c r="O973" s="91"/>
      <c r="P973" s="91"/>
      <c r="Q973" s="91"/>
      <c r="R973" s="91"/>
      <c r="S973" s="91"/>
      <c r="T973" s="91"/>
      <c r="U973" s="91"/>
      <c r="V973" s="91"/>
      <c r="W973" s="91"/>
      <c r="X973" s="91"/>
      <c r="Y973" s="91"/>
      <c r="Z973" s="91"/>
    </row>
    <row r="974" ht="24.0" customHeight="1">
      <c r="B974" s="90"/>
      <c r="C974" s="90"/>
      <c r="D974" s="90"/>
      <c r="E974" s="90"/>
      <c r="F974" s="90"/>
      <c r="G974" s="90"/>
      <c r="H974" s="90"/>
      <c r="I974" s="90"/>
      <c r="J974" s="90"/>
      <c r="K974" s="90"/>
      <c r="L974" s="90"/>
      <c r="M974" s="91"/>
      <c r="N974" s="91"/>
      <c r="O974" s="91"/>
      <c r="P974" s="91"/>
      <c r="Q974" s="91"/>
      <c r="R974" s="91"/>
      <c r="S974" s="91"/>
      <c r="T974" s="91"/>
      <c r="U974" s="91"/>
      <c r="V974" s="91"/>
      <c r="W974" s="91"/>
      <c r="X974" s="91"/>
      <c r="Y974" s="91"/>
      <c r="Z974" s="91"/>
    </row>
    <row r="975" ht="24.0" customHeight="1">
      <c r="B975" s="90"/>
      <c r="C975" s="90"/>
      <c r="D975" s="90"/>
      <c r="E975" s="90"/>
      <c r="F975" s="90"/>
      <c r="G975" s="90"/>
      <c r="H975" s="90"/>
      <c r="I975" s="90"/>
      <c r="J975" s="90"/>
      <c r="K975" s="90"/>
      <c r="L975" s="90"/>
      <c r="M975" s="91"/>
      <c r="N975" s="91"/>
      <c r="O975" s="91"/>
      <c r="P975" s="91"/>
      <c r="Q975" s="91"/>
      <c r="R975" s="91"/>
      <c r="S975" s="91"/>
      <c r="T975" s="91"/>
      <c r="U975" s="91"/>
      <c r="V975" s="91"/>
      <c r="W975" s="91"/>
      <c r="X975" s="91"/>
      <c r="Y975" s="91"/>
      <c r="Z975" s="91"/>
    </row>
    <row r="976" ht="24.0" customHeight="1">
      <c r="B976" s="90"/>
      <c r="C976" s="90"/>
      <c r="D976" s="90"/>
      <c r="E976" s="90"/>
      <c r="F976" s="90"/>
      <c r="G976" s="90"/>
      <c r="H976" s="90"/>
      <c r="I976" s="90"/>
      <c r="J976" s="90"/>
      <c r="K976" s="90"/>
      <c r="L976" s="90"/>
      <c r="M976" s="91"/>
      <c r="N976" s="91"/>
      <c r="O976" s="91"/>
      <c r="P976" s="91"/>
      <c r="Q976" s="91"/>
      <c r="R976" s="91"/>
      <c r="S976" s="91"/>
      <c r="T976" s="91"/>
      <c r="U976" s="91"/>
      <c r="V976" s="91"/>
      <c r="W976" s="91"/>
      <c r="X976" s="91"/>
      <c r="Y976" s="91"/>
      <c r="Z976" s="91"/>
    </row>
    <row r="977" ht="24.0" customHeight="1">
      <c r="B977" s="90"/>
      <c r="C977" s="90"/>
      <c r="D977" s="90"/>
      <c r="E977" s="90"/>
      <c r="F977" s="90"/>
      <c r="G977" s="90"/>
      <c r="H977" s="90"/>
      <c r="I977" s="90"/>
      <c r="J977" s="90"/>
      <c r="K977" s="90"/>
      <c r="L977" s="90"/>
      <c r="M977" s="91"/>
      <c r="N977" s="91"/>
      <c r="O977" s="91"/>
      <c r="P977" s="91"/>
      <c r="Q977" s="91"/>
      <c r="R977" s="91"/>
      <c r="S977" s="91"/>
      <c r="T977" s="91"/>
      <c r="U977" s="91"/>
      <c r="V977" s="91"/>
      <c r="W977" s="91"/>
      <c r="X977" s="91"/>
      <c r="Y977" s="91"/>
      <c r="Z977" s="91"/>
    </row>
    <row r="978" ht="24.0" customHeight="1">
      <c r="B978" s="90"/>
      <c r="C978" s="90"/>
      <c r="D978" s="90"/>
      <c r="E978" s="90"/>
      <c r="F978" s="90"/>
      <c r="G978" s="90"/>
      <c r="H978" s="90"/>
      <c r="I978" s="90"/>
      <c r="J978" s="90"/>
      <c r="K978" s="90"/>
      <c r="L978" s="90"/>
      <c r="M978" s="91"/>
      <c r="N978" s="91"/>
      <c r="O978" s="91"/>
      <c r="P978" s="91"/>
      <c r="Q978" s="91"/>
      <c r="R978" s="91"/>
      <c r="S978" s="91"/>
      <c r="T978" s="91"/>
      <c r="U978" s="91"/>
      <c r="V978" s="91"/>
      <c r="W978" s="91"/>
      <c r="X978" s="91"/>
      <c r="Y978" s="91"/>
      <c r="Z978" s="91"/>
    </row>
    <row r="979" ht="24.0" customHeight="1">
      <c r="B979" s="90"/>
      <c r="C979" s="90"/>
      <c r="D979" s="90"/>
      <c r="E979" s="90"/>
      <c r="F979" s="90"/>
      <c r="G979" s="90"/>
      <c r="H979" s="90"/>
      <c r="I979" s="90"/>
      <c r="J979" s="90"/>
      <c r="K979" s="90"/>
      <c r="L979" s="90"/>
      <c r="M979" s="91"/>
      <c r="N979" s="91"/>
      <c r="O979" s="91"/>
      <c r="P979" s="91"/>
      <c r="Q979" s="91"/>
      <c r="R979" s="91"/>
      <c r="S979" s="91"/>
      <c r="T979" s="91"/>
      <c r="U979" s="91"/>
      <c r="V979" s="91"/>
      <c r="W979" s="91"/>
      <c r="X979" s="91"/>
      <c r="Y979" s="91"/>
      <c r="Z979" s="91"/>
    </row>
    <row r="980" ht="24.0" customHeight="1">
      <c r="B980" s="90"/>
      <c r="C980" s="90"/>
      <c r="D980" s="90"/>
      <c r="E980" s="90"/>
      <c r="F980" s="90"/>
      <c r="G980" s="90"/>
      <c r="H980" s="90"/>
      <c r="I980" s="90"/>
      <c r="J980" s="90"/>
      <c r="K980" s="90"/>
      <c r="L980" s="90"/>
      <c r="M980" s="91"/>
      <c r="N980" s="91"/>
      <c r="O980" s="91"/>
      <c r="P980" s="91"/>
      <c r="Q980" s="91"/>
      <c r="R980" s="91"/>
      <c r="S980" s="91"/>
      <c r="T980" s="91"/>
      <c r="U980" s="91"/>
      <c r="V980" s="91"/>
      <c r="W980" s="91"/>
      <c r="X980" s="91"/>
      <c r="Y980" s="91"/>
      <c r="Z980" s="91"/>
    </row>
    <row r="981" ht="24.0" customHeight="1">
      <c r="B981" s="90"/>
      <c r="C981" s="90"/>
      <c r="D981" s="90"/>
      <c r="E981" s="90"/>
      <c r="F981" s="90"/>
      <c r="G981" s="90"/>
      <c r="H981" s="90"/>
      <c r="I981" s="90"/>
      <c r="J981" s="90"/>
      <c r="K981" s="90"/>
      <c r="L981" s="90"/>
      <c r="M981" s="91"/>
      <c r="N981" s="91"/>
      <c r="O981" s="91"/>
      <c r="P981" s="91"/>
      <c r="Q981" s="91"/>
      <c r="R981" s="91"/>
      <c r="S981" s="91"/>
      <c r="T981" s="91"/>
      <c r="U981" s="91"/>
      <c r="V981" s="91"/>
      <c r="W981" s="91"/>
      <c r="X981" s="91"/>
      <c r="Y981" s="91"/>
      <c r="Z981" s="91"/>
    </row>
    <row r="982" ht="24.0" customHeight="1">
      <c r="B982" s="90"/>
      <c r="C982" s="90"/>
      <c r="D982" s="90"/>
      <c r="E982" s="90"/>
      <c r="F982" s="90"/>
      <c r="G982" s="90"/>
      <c r="H982" s="90"/>
      <c r="I982" s="90"/>
      <c r="J982" s="90"/>
      <c r="K982" s="90"/>
      <c r="L982" s="90"/>
      <c r="M982" s="91"/>
      <c r="N982" s="91"/>
      <c r="O982" s="91"/>
      <c r="P982" s="91"/>
      <c r="Q982" s="91"/>
      <c r="R982" s="91"/>
      <c r="S982" s="91"/>
      <c r="T982" s="91"/>
      <c r="U982" s="91"/>
      <c r="V982" s="91"/>
      <c r="W982" s="91"/>
      <c r="X982" s="91"/>
      <c r="Y982" s="91"/>
      <c r="Z982" s="91"/>
    </row>
    <row r="983" ht="24.0" customHeight="1">
      <c r="B983" s="90"/>
      <c r="C983" s="90"/>
      <c r="D983" s="90"/>
      <c r="E983" s="90"/>
      <c r="F983" s="90"/>
      <c r="G983" s="90"/>
      <c r="H983" s="90"/>
      <c r="I983" s="90"/>
      <c r="J983" s="90"/>
      <c r="K983" s="90"/>
      <c r="L983" s="90"/>
      <c r="M983" s="91"/>
      <c r="N983" s="91"/>
      <c r="O983" s="91"/>
      <c r="P983" s="91"/>
      <c r="Q983" s="91"/>
      <c r="R983" s="91"/>
      <c r="S983" s="91"/>
      <c r="T983" s="91"/>
      <c r="U983" s="91"/>
      <c r="V983" s="91"/>
      <c r="W983" s="91"/>
      <c r="X983" s="91"/>
      <c r="Y983" s="91"/>
      <c r="Z983" s="91"/>
    </row>
    <row r="984" ht="24.0" customHeight="1">
      <c r="B984" s="90"/>
      <c r="C984" s="90"/>
      <c r="D984" s="90"/>
      <c r="E984" s="90"/>
      <c r="F984" s="90"/>
      <c r="G984" s="90"/>
      <c r="H984" s="90"/>
      <c r="I984" s="90"/>
      <c r="J984" s="90"/>
      <c r="K984" s="90"/>
      <c r="L984" s="90"/>
      <c r="M984" s="91"/>
      <c r="N984" s="91"/>
      <c r="O984" s="91"/>
      <c r="P984" s="91"/>
      <c r="Q984" s="91"/>
      <c r="R984" s="91"/>
      <c r="S984" s="91"/>
      <c r="T984" s="91"/>
      <c r="U984" s="91"/>
      <c r="V984" s="91"/>
      <c r="W984" s="91"/>
      <c r="X984" s="91"/>
      <c r="Y984" s="91"/>
      <c r="Z984" s="91"/>
    </row>
    <row r="985" ht="24.0" customHeight="1">
      <c r="B985" s="90"/>
      <c r="C985" s="90"/>
      <c r="D985" s="90"/>
      <c r="E985" s="90"/>
      <c r="F985" s="90"/>
      <c r="G985" s="90"/>
      <c r="H985" s="90"/>
      <c r="I985" s="90"/>
      <c r="J985" s="90"/>
      <c r="K985" s="90"/>
      <c r="L985" s="90"/>
      <c r="M985" s="91"/>
      <c r="N985" s="91"/>
      <c r="O985" s="91"/>
      <c r="P985" s="91"/>
      <c r="Q985" s="91"/>
      <c r="R985" s="91"/>
      <c r="S985" s="91"/>
      <c r="T985" s="91"/>
      <c r="U985" s="91"/>
      <c r="V985" s="91"/>
      <c r="W985" s="91"/>
      <c r="X985" s="91"/>
      <c r="Y985" s="91"/>
      <c r="Z985" s="91"/>
    </row>
    <row r="986" ht="24.0" customHeight="1">
      <c r="B986" s="90"/>
      <c r="C986" s="90"/>
      <c r="D986" s="90"/>
      <c r="E986" s="90"/>
      <c r="F986" s="90"/>
      <c r="G986" s="90"/>
      <c r="H986" s="90"/>
      <c r="I986" s="90"/>
      <c r="J986" s="90"/>
      <c r="K986" s="90"/>
      <c r="L986" s="90"/>
      <c r="M986" s="91"/>
      <c r="N986" s="91"/>
      <c r="O986" s="91"/>
      <c r="P986" s="91"/>
      <c r="Q986" s="91"/>
      <c r="R986" s="91"/>
      <c r="S986" s="91"/>
      <c r="T986" s="91"/>
      <c r="U986" s="91"/>
      <c r="V986" s="91"/>
      <c r="W986" s="91"/>
      <c r="X986" s="91"/>
      <c r="Y986" s="91"/>
      <c r="Z986" s="91"/>
    </row>
    <row r="987" ht="24.0" customHeight="1">
      <c r="B987" s="90"/>
      <c r="C987" s="90"/>
      <c r="D987" s="90"/>
      <c r="E987" s="90"/>
      <c r="F987" s="90"/>
      <c r="G987" s="90"/>
      <c r="H987" s="90"/>
      <c r="I987" s="90"/>
      <c r="J987" s="90"/>
      <c r="K987" s="90"/>
      <c r="L987" s="90"/>
      <c r="M987" s="91"/>
      <c r="N987" s="91"/>
      <c r="O987" s="91"/>
      <c r="P987" s="91"/>
      <c r="Q987" s="91"/>
      <c r="R987" s="91"/>
      <c r="S987" s="91"/>
      <c r="T987" s="91"/>
      <c r="U987" s="91"/>
      <c r="V987" s="91"/>
      <c r="W987" s="91"/>
      <c r="X987" s="91"/>
      <c r="Y987" s="91"/>
      <c r="Z987" s="91"/>
    </row>
    <row r="988" ht="24.0" customHeight="1">
      <c r="B988" s="90"/>
      <c r="C988" s="90"/>
      <c r="D988" s="90"/>
      <c r="E988" s="90"/>
      <c r="F988" s="90"/>
      <c r="G988" s="90"/>
      <c r="H988" s="90"/>
      <c r="I988" s="90"/>
      <c r="J988" s="90"/>
      <c r="K988" s="90"/>
      <c r="L988" s="90"/>
      <c r="M988" s="91"/>
      <c r="N988" s="91"/>
      <c r="O988" s="91"/>
      <c r="P988" s="91"/>
      <c r="Q988" s="91"/>
      <c r="R988" s="91"/>
      <c r="S988" s="91"/>
      <c r="T988" s="91"/>
      <c r="U988" s="91"/>
      <c r="V988" s="91"/>
      <c r="W988" s="91"/>
      <c r="X988" s="91"/>
      <c r="Y988" s="91"/>
      <c r="Z988" s="91"/>
    </row>
    <row r="989" ht="24.0" customHeight="1">
      <c r="B989" s="90"/>
      <c r="C989" s="90"/>
      <c r="D989" s="90"/>
      <c r="E989" s="90"/>
      <c r="F989" s="90"/>
      <c r="G989" s="90"/>
      <c r="H989" s="90"/>
      <c r="I989" s="90"/>
      <c r="J989" s="90"/>
      <c r="K989" s="90"/>
      <c r="L989" s="90"/>
      <c r="M989" s="91"/>
      <c r="N989" s="91"/>
      <c r="O989" s="91"/>
      <c r="P989" s="91"/>
      <c r="Q989" s="91"/>
      <c r="R989" s="91"/>
      <c r="S989" s="91"/>
      <c r="T989" s="91"/>
      <c r="U989" s="91"/>
      <c r="V989" s="91"/>
      <c r="W989" s="91"/>
      <c r="X989" s="91"/>
      <c r="Y989" s="91"/>
      <c r="Z989" s="91"/>
    </row>
    <row r="990" ht="24.0" customHeight="1">
      <c r="B990" s="90"/>
      <c r="C990" s="90"/>
      <c r="D990" s="90"/>
      <c r="E990" s="90"/>
      <c r="F990" s="90"/>
      <c r="G990" s="90"/>
      <c r="H990" s="90"/>
      <c r="I990" s="90"/>
      <c r="J990" s="90"/>
      <c r="K990" s="90"/>
      <c r="L990" s="90"/>
      <c r="M990" s="91"/>
      <c r="N990" s="91"/>
      <c r="O990" s="91"/>
      <c r="P990" s="91"/>
      <c r="Q990" s="91"/>
      <c r="R990" s="91"/>
      <c r="S990" s="91"/>
      <c r="T990" s="91"/>
      <c r="U990" s="91"/>
      <c r="V990" s="91"/>
      <c r="W990" s="91"/>
      <c r="X990" s="91"/>
      <c r="Y990" s="91"/>
      <c r="Z990" s="91"/>
    </row>
    <row r="991" ht="24.0" customHeight="1">
      <c r="B991" s="90"/>
      <c r="C991" s="90"/>
      <c r="D991" s="90"/>
      <c r="E991" s="90"/>
      <c r="F991" s="90"/>
      <c r="G991" s="90"/>
      <c r="H991" s="90"/>
      <c r="I991" s="90"/>
      <c r="J991" s="90"/>
      <c r="K991" s="90"/>
      <c r="L991" s="90"/>
      <c r="M991" s="91"/>
      <c r="N991" s="91"/>
      <c r="O991" s="91"/>
      <c r="P991" s="91"/>
      <c r="Q991" s="91"/>
      <c r="R991" s="91"/>
      <c r="S991" s="91"/>
      <c r="T991" s="91"/>
      <c r="U991" s="91"/>
      <c r="V991" s="91"/>
      <c r="W991" s="91"/>
      <c r="X991" s="91"/>
      <c r="Y991" s="91"/>
      <c r="Z991" s="91"/>
    </row>
    <row r="992" ht="24.0" customHeight="1">
      <c r="B992" s="90"/>
      <c r="C992" s="90"/>
      <c r="D992" s="90"/>
      <c r="E992" s="90"/>
      <c r="F992" s="90"/>
      <c r="G992" s="90"/>
      <c r="H992" s="90"/>
      <c r="I992" s="90"/>
      <c r="J992" s="90"/>
      <c r="K992" s="90"/>
      <c r="L992" s="90"/>
      <c r="M992" s="91"/>
      <c r="N992" s="91"/>
      <c r="O992" s="91"/>
      <c r="P992" s="91"/>
      <c r="Q992" s="91"/>
      <c r="R992" s="91"/>
      <c r="S992" s="91"/>
      <c r="T992" s="91"/>
      <c r="U992" s="91"/>
      <c r="V992" s="91"/>
      <c r="W992" s="91"/>
      <c r="X992" s="91"/>
      <c r="Y992" s="91"/>
      <c r="Z992" s="91"/>
    </row>
    <row r="993" ht="24.0" customHeight="1">
      <c r="B993" s="90"/>
      <c r="C993" s="90"/>
      <c r="D993" s="90"/>
      <c r="E993" s="90"/>
      <c r="F993" s="90"/>
      <c r="G993" s="90"/>
      <c r="H993" s="90"/>
      <c r="I993" s="90"/>
      <c r="J993" s="90"/>
      <c r="K993" s="90"/>
      <c r="L993" s="90"/>
      <c r="M993" s="91"/>
      <c r="N993" s="91"/>
      <c r="O993" s="91"/>
      <c r="P993" s="91"/>
      <c r="Q993" s="91"/>
      <c r="R993" s="91"/>
      <c r="S993" s="91"/>
      <c r="T993" s="91"/>
      <c r="U993" s="91"/>
      <c r="V993" s="91"/>
      <c r="W993" s="91"/>
      <c r="X993" s="91"/>
      <c r="Y993" s="91"/>
      <c r="Z993" s="91"/>
    </row>
    <row r="994" ht="24.0" customHeight="1">
      <c r="B994" s="90"/>
      <c r="C994" s="90"/>
      <c r="D994" s="90"/>
      <c r="E994" s="90"/>
      <c r="F994" s="90"/>
      <c r="G994" s="90"/>
      <c r="H994" s="90"/>
      <c r="I994" s="90"/>
      <c r="J994" s="90"/>
      <c r="K994" s="90"/>
      <c r="L994" s="90"/>
      <c r="M994" s="91"/>
      <c r="N994" s="91"/>
      <c r="O994" s="91"/>
      <c r="P994" s="91"/>
      <c r="Q994" s="91"/>
      <c r="R994" s="91"/>
      <c r="S994" s="91"/>
      <c r="T994" s="91"/>
      <c r="U994" s="91"/>
      <c r="V994" s="91"/>
      <c r="W994" s="91"/>
      <c r="X994" s="91"/>
      <c r="Y994" s="91"/>
      <c r="Z994" s="91"/>
    </row>
    <row r="995" ht="24.0" customHeight="1">
      <c r="B995" s="90"/>
      <c r="C995" s="90"/>
      <c r="D995" s="90"/>
      <c r="E995" s="90"/>
      <c r="F995" s="90"/>
      <c r="G995" s="90"/>
      <c r="H995" s="90"/>
      <c r="I995" s="90"/>
      <c r="J995" s="90"/>
      <c r="K995" s="90"/>
      <c r="L995" s="90"/>
      <c r="M995" s="91"/>
      <c r="N995" s="91"/>
      <c r="O995" s="91"/>
      <c r="P995" s="91"/>
      <c r="Q995" s="91"/>
      <c r="R995" s="91"/>
      <c r="S995" s="91"/>
      <c r="T995" s="91"/>
      <c r="U995" s="91"/>
      <c r="V995" s="91"/>
      <c r="W995" s="91"/>
      <c r="X995" s="91"/>
      <c r="Y995" s="91"/>
      <c r="Z995" s="91"/>
    </row>
    <row r="996" ht="24.0" customHeight="1">
      <c r="B996" s="90"/>
      <c r="C996" s="90"/>
      <c r="D996" s="90"/>
      <c r="E996" s="90"/>
      <c r="F996" s="90"/>
      <c r="G996" s="90"/>
      <c r="H996" s="90"/>
      <c r="I996" s="90"/>
      <c r="J996" s="90"/>
      <c r="K996" s="90"/>
      <c r="L996" s="90"/>
      <c r="M996" s="91"/>
      <c r="N996" s="91"/>
      <c r="O996" s="91"/>
      <c r="P996" s="91"/>
      <c r="Q996" s="91"/>
      <c r="R996" s="91"/>
      <c r="S996" s="91"/>
      <c r="T996" s="91"/>
      <c r="U996" s="91"/>
      <c r="V996" s="91"/>
      <c r="W996" s="91"/>
      <c r="X996" s="91"/>
      <c r="Y996" s="91"/>
      <c r="Z996" s="91"/>
    </row>
    <row r="997" ht="24.0" customHeight="1">
      <c r="B997" s="90"/>
      <c r="C997" s="90"/>
      <c r="D997" s="90"/>
      <c r="E997" s="90"/>
      <c r="F997" s="90"/>
      <c r="G997" s="90"/>
      <c r="H997" s="90"/>
      <c r="I997" s="90"/>
      <c r="J997" s="90"/>
      <c r="K997" s="90"/>
      <c r="L997" s="90"/>
      <c r="M997" s="91"/>
      <c r="N997" s="91"/>
      <c r="O997" s="91"/>
      <c r="P997" s="91"/>
      <c r="Q997" s="91"/>
      <c r="R997" s="91"/>
      <c r="S997" s="91"/>
      <c r="T997" s="91"/>
      <c r="U997" s="91"/>
      <c r="V997" s="91"/>
      <c r="W997" s="91"/>
      <c r="X997" s="91"/>
      <c r="Y997" s="91"/>
      <c r="Z997" s="91"/>
    </row>
    <row r="998" ht="24.0" customHeight="1">
      <c r="B998" s="90"/>
      <c r="C998" s="90"/>
      <c r="D998" s="90"/>
      <c r="E998" s="90"/>
      <c r="F998" s="90"/>
      <c r="G998" s="90"/>
      <c r="H998" s="90"/>
      <c r="I998" s="90"/>
      <c r="J998" s="90"/>
      <c r="K998" s="90"/>
      <c r="L998" s="90"/>
      <c r="M998" s="91"/>
      <c r="N998" s="91"/>
      <c r="O998" s="91"/>
      <c r="P998" s="91"/>
      <c r="Q998" s="91"/>
      <c r="R998" s="91"/>
      <c r="S998" s="91"/>
      <c r="T998" s="91"/>
      <c r="U998" s="91"/>
      <c r="V998" s="91"/>
      <c r="W998" s="91"/>
      <c r="X998" s="91"/>
      <c r="Y998" s="91"/>
      <c r="Z998" s="91"/>
    </row>
    <row r="999" ht="24.0" customHeight="1">
      <c r="B999" s="90"/>
      <c r="C999" s="90"/>
      <c r="D999" s="90"/>
      <c r="E999" s="90"/>
      <c r="F999" s="90"/>
      <c r="G999" s="90"/>
      <c r="H999" s="90"/>
      <c r="I999" s="90"/>
      <c r="J999" s="90"/>
      <c r="K999" s="90"/>
      <c r="L999" s="90"/>
      <c r="M999" s="91"/>
      <c r="N999" s="91"/>
      <c r="O999" s="91"/>
      <c r="P999" s="91"/>
      <c r="Q999" s="91"/>
      <c r="R999" s="91"/>
      <c r="S999" s="91"/>
      <c r="T999" s="91"/>
      <c r="U999" s="91"/>
      <c r="V999" s="91"/>
      <c r="W999" s="91"/>
      <c r="X999" s="91"/>
      <c r="Y999" s="91"/>
      <c r="Z999" s="91"/>
    </row>
    <row r="1000" ht="24.0" customHeight="1">
      <c r="B1000" s="90"/>
      <c r="C1000" s="90"/>
      <c r="D1000" s="90"/>
      <c r="E1000" s="90"/>
      <c r="F1000" s="90"/>
      <c r="G1000" s="90"/>
      <c r="H1000" s="90"/>
      <c r="I1000" s="90"/>
      <c r="J1000" s="90"/>
      <c r="K1000" s="90"/>
      <c r="L1000" s="90"/>
      <c r="M1000" s="91"/>
      <c r="N1000" s="91"/>
      <c r="O1000" s="91"/>
      <c r="P1000" s="91"/>
      <c r="Q1000" s="91"/>
      <c r="R1000" s="91"/>
      <c r="S1000" s="91"/>
      <c r="T1000" s="91"/>
      <c r="U1000" s="91"/>
      <c r="V1000" s="91"/>
      <c r="W1000" s="91"/>
      <c r="X1000" s="91"/>
      <c r="Y1000" s="91"/>
      <c r="Z1000" s="91"/>
    </row>
    <row r="1001" ht="24.0" customHeight="1">
      <c r="B1001" s="90"/>
      <c r="C1001" s="90"/>
      <c r="D1001" s="90"/>
      <c r="E1001" s="90"/>
      <c r="F1001" s="90"/>
      <c r="G1001" s="90"/>
      <c r="H1001" s="90"/>
      <c r="I1001" s="90"/>
      <c r="J1001" s="90"/>
      <c r="K1001" s="90"/>
      <c r="L1001" s="90"/>
      <c r="M1001" s="91"/>
      <c r="N1001" s="91"/>
      <c r="O1001" s="91"/>
      <c r="P1001" s="91"/>
      <c r="Q1001" s="91"/>
      <c r="R1001" s="91"/>
      <c r="S1001" s="91"/>
      <c r="T1001" s="91"/>
      <c r="U1001" s="91"/>
      <c r="V1001" s="91"/>
      <c r="W1001" s="91"/>
      <c r="X1001" s="91"/>
      <c r="Y1001" s="91"/>
      <c r="Z1001" s="91"/>
    </row>
    <row r="1002" ht="24.0" customHeight="1">
      <c r="B1002" s="90"/>
      <c r="C1002" s="90"/>
      <c r="D1002" s="90"/>
      <c r="E1002" s="90"/>
      <c r="F1002" s="90"/>
      <c r="G1002" s="90"/>
      <c r="H1002" s="90"/>
      <c r="I1002" s="90"/>
      <c r="J1002" s="90"/>
      <c r="K1002" s="90"/>
      <c r="L1002" s="90"/>
      <c r="M1002" s="91"/>
      <c r="N1002" s="91"/>
      <c r="O1002" s="91"/>
      <c r="P1002" s="91"/>
      <c r="Q1002" s="91"/>
      <c r="R1002" s="91"/>
      <c r="S1002" s="91"/>
      <c r="T1002" s="91"/>
      <c r="U1002" s="91"/>
      <c r="V1002" s="91"/>
      <c r="W1002" s="91"/>
      <c r="X1002" s="91"/>
      <c r="Y1002" s="91"/>
      <c r="Z1002" s="91"/>
    </row>
    <row r="1003" ht="24.0" customHeight="1">
      <c r="B1003" s="90"/>
      <c r="C1003" s="90"/>
      <c r="D1003" s="90"/>
      <c r="E1003" s="90"/>
      <c r="F1003" s="90"/>
      <c r="G1003" s="90"/>
      <c r="H1003" s="90"/>
      <c r="I1003" s="90"/>
      <c r="J1003" s="90"/>
      <c r="K1003" s="90"/>
      <c r="L1003" s="90"/>
      <c r="M1003" s="91"/>
      <c r="N1003" s="91"/>
      <c r="O1003" s="91"/>
      <c r="P1003" s="91"/>
      <c r="Q1003" s="91"/>
      <c r="R1003" s="91"/>
      <c r="S1003" s="91"/>
      <c r="T1003" s="91"/>
      <c r="U1003" s="91"/>
      <c r="V1003" s="91"/>
      <c r="W1003" s="91"/>
      <c r="X1003" s="91"/>
      <c r="Y1003" s="91"/>
      <c r="Z1003" s="91"/>
    </row>
    <row r="1004" ht="24.0" customHeight="1">
      <c r="B1004" s="90"/>
      <c r="C1004" s="90"/>
      <c r="D1004" s="90"/>
      <c r="E1004" s="90"/>
      <c r="F1004" s="90"/>
      <c r="G1004" s="90"/>
      <c r="H1004" s="90"/>
      <c r="I1004" s="90"/>
      <c r="J1004" s="90"/>
      <c r="K1004" s="90"/>
      <c r="L1004" s="90"/>
      <c r="M1004" s="91"/>
      <c r="N1004" s="91"/>
      <c r="O1004" s="91"/>
      <c r="P1004" s="91"/>
      <c r="Q1004" s="91"/>
      <c r="R1004" s="91"/>
      <c r="S1004" s="91"/>
      <c r="T1004" s="91"/>
      <c r="U1004" s="91"/>
      <c r="V1004" s="91"/>
      <c r="W1004" s="91"/>
      <c r="X1004" s="91"/>
      <c r="Y1004" s="91"/>
      <c r="Z1004" s="91"/>
    </row>
    <row r="1005" ht="24.0" customHeight="1">
      <c r="B1005" s="90"/>
      <c r="C1005" s="90"/>
      <c r="D1005" s="90"/>
      <c r="E1005" s="90"/>
      <c r="F1005" s="90"/>
      <c r="G1005" s="90"/>
      <c r="H1005" s="90"/>
      <c r="I1005" s="90"/>
      <c r="J1005" s="90"/>
      <c r="K1005" s="90"/>
      <c r="L1005" s="90"/>
      <c r="M1005" s="91"/>
      <c r="N1005" s="91"/>
      <c r="O1005" s="91"/>
      <c r="P1005" s="91"/>
      <c r="Q1005" s="91"/>
      <c r="R1005" s="91"/>
      <c r="S1005" s="91"/>
      <c r="T1005" s="91"/>
      <c r="U1005" s="91"/>
      <c r="V1005" s="91"/>
      <c r="W1005" s="91"/>
      <c r="X1005" s="91"/>
      <c r="Y1005" s="91"/>
      <c r="Z1005" s="91"/>
    </row>
    <row r="1006" ht="24.0" customHeight="1">
      <c r="B1006" s="90"/>
      <c r="C1006" s="90"/>
      <c r="D1006" s="90"/>
      <c r="E1006" s="90"/>
      <c r="F1006" s="90"/>
      <c r="G1006" s="90"/>
      <c r="H1006" s="90"/>
      <c r="I1006" s="90"/>
      <c r="J1006" s="90"/>
      <c r="K1006" s="90"/>
      <c r="L1006" s="90"/>
      <c r="M1006" s="91"/>
      <c r="N1006" s="91"/>
      <c r="O1006" s="91"/>
      <c r="P1006" s="91"/>
      <c r="Q1006" s="91"/>
      <c r="R1006" s="91"/>
      <c r="S1006" s="91"/>
      <c r="T1006" s="91"/>
      <c r="U1006" s="91"/>
      <c r="V1006" s="91"/>
      <c r="W1006" s="91"/>
      <c r="X1006" s="91"/>
      <c r="Y1006" s="91"/>
      <c r="Z1006" s="91"/>
    </row>
    <row r="1007" ht="24.0" customHeight="1">
      <c r="B1007" s="90"/>
      <c r="C1007" s="90"/>
      <c r="D1007" s="90"/>
      <c r="E1007" s="90"/>
      <c r="F1007" s="90"/>
      <c r="G1007" s="90"/>
      <c r="H1007" s="90"/>
      <c r="I1007" s="90"/>
      <c r="J1007" s="90"/>
      <c r="K1007" s="90"/>
      <c r="L1007" s="90"/>
      <c r="M1007" s="91"/>
      <c r="N1007" s="91"/>
      <c r="O1007" s="91"/>
      <c r="P1007" s="91"/>
      <c r="Q1007" s="91"/>
      <c r="R1007" s="91"/>
      <c r="S1007" s="91"/>
      <c r="T1007" s="91"/>
      <c r="U1007" s="91"/>
      <c r="V1007" s="91"/>
      <c r="W1007" s="91"/>
      <c r="X1007" s="91"/>
      <c r="Y1007" s="91"/>
      <c r="Z1007" s="91"/>
    </row>
    <row r="1008" ht="24.0" customHeight="1">
      <c r="B1008" s="90"/>
      <c r="C1008" s="90"/>
      <c r="D1008" s="90"/>
      <c r="E1008" s="90"/>
      <c r="F1008" s="90"/>
      <c r="G1008" s="90"/>
      <c r="H1008" s="90"/>
      <c r="I1008" s="90"/>
      <c r="J1008" s="90"/>
      <c r="K1008" s="90"/>
      <c r="L1008" s="90"/>
      <c r="M1008" s="91"/>
      <c r="N1008" s="91"/>
      <c r="O1008" s="91"/>
      <c r="P1008" s="91"/>
      <c r="Q1008" s="91"/>
      <c r="R1008" s="91"/>
      <c r="S1008" s="91"/>
      <c r="T1008" s="91"/>
      <c r="U1008" s="91"/>
      <c r="V1008" s="91"/>
      <c r="W1008" s="91"/>
      <c r="X1008" s="91"/>
      <c r="Y1008" s="91"/>
      <c r="Z1008" s="91"/>
    </row>
    <row r="1009" ht="24.0" customHeight="1">
      <c r="B1009" s="90"/>
      <c r="C1009" s="90"/>
      <c r="D1009" s="90"/>
      <c r="E1009" s="90"/>
      <c r="F1009" s="90"/>
      <c r="G1009" s="90"/>
      <c r="H1009" s="90"/>
      <c r="I1009" s="90"/>
      <c r="J1009" s="90"/>
      <c r="K1009" s="90"/>
      <c r="L1009" s="90"/>
      <c r="M1009" s="91"/>
      <c r="N1009" s="91"/>
      <c r="O1009" s="91"/>
      <c r="P1009" s="91"/>
      <c r="Q1009" s="91"/>
      <c r="R1009" s="91"/>
      <c r="S1009" s="91"/>
      <c r="T1009" s="91"/>
      <c r="U1009" s="91"/>
      <c r="V1009" s="91"/>
      <c r="W1009" s="91"/>
      <c r="X1009" s="91"/>
      <c r="Y1009" s="91"/>
      <c r="Z1009" s="91"/>
    </row>
    <row r="1010" ht="24.0" customHeight="1">
      <c r="B1010" s="90"/>
      <c r="C1010" s="90"/>
      <c r="D1010" s="90"/>
      <c r="E1010" s="90"/>
      <c r="F1010" s="90"/>
      <c r="G1010" s="90"/>
      <c r="H1010" s="90"/>
      <c r="I1010" s="90"/>
      <c r="J1010" s="90"/>
      <c r="K1010" s="90"/>
      <c r="L1010" s="90"/>
      <c r="M1010" s="91"/>
      <c r="N1010" s="91"/>
      <c r="O1010" s="91"/>
      <c r="P1010" s="91"/>
      <c r="Q1010" s="91"/>
      <c r="R1010" s="91"/>
      <c r="S1010" s="91"/>
      <c r="T1010" s="91"/>
      <c r="U1010" s="91"/>
      <c r="V1010" s="91"/>
      <c r="W1010" s="91"/>
      <c r="X1010" s="91"/>
      <c r="Y1010" s="91"/>
      <c r="Z1010" s="91"/>
    </row>
    <row r="1011" ht="24.0" customHeight="1">
      <c r="B1011" s="90"/>
      <c r="C1011" s="90"/>
      <c r="D1011" s="90"/>
      <c r="E1011" s="90"/>
      <c r="F1011" s="90"/>
      <c r="G1011" s="90"/>
      <c r="H1011" s="90"/>
      <c r="I1011" s="90"/>
      <c r="J1011" s="90"/>
      <c r="K1011" s="90"/>
      <c r="L1011" s="90"/>
      <c r="M1011" s="91"/>
      <c r="N1011" s="91"/>
      <c r="O1011" s="91"/>
      <c r="P1011" s="91"/>
      <c r="Q1011" s="91"/>
      <c r="R1011" s="91"/>
      <c r="S1011" s="91"/>
      <c r="T1011" s="91"/>
      <c r="U1011" s="91"/>
      <c r="V1011" s="91"/>
      <c r="W1011" s="91"/>
      <c r="X1011" s="91"/>
      <c r="Y1011" s="91"/>
      <c r="Z1011" s="91"/>
    </row>
    <row r="1012" ht="24.0" customHeight="1">
      <c r="B1012" s="90"/>
      <c r="C1012" s="90"/>
      <c r="D1012" s="90"/>
      <c r="E1012" s="90"/>
      <c r="F1012" s="90"/>
      <c r="G1012" s="90"/>
      <c r="H1012" s="90"/>
      <c r="I1012" s="90"/>
      <c r="J1012" s="90"/>
      <c r="K1012" s="90"/>
      <c r="L1012" s="90"/>
      <c r="M1012" s="91"/>
      <c r="N1012" s="91"/>
      <c r="O1012" s="91"/>
      <c r="P1012" s="91"/>
      <c r="Q1012" s="91"/>
      <c r="R1012" s="91"/>
      <c r="S1012" s="91"/>
      <c r="T1012" s="91"/>
      <c r="U1012" s="91"/>
      <c r="V1012" s="91"/>
      <c r="W1012" s="91"/>
      <c r="X1012" s="91"/>
      <c r="Y1012" s="91"/>
      <c r="Z1012" s="91"/>
    </row>
    <row r="1013" ht="24.0" customHeight="1">
      <c r="B1013" s="90"/>
      <c r="C1013" s="90"/>
      <c r="D1013" s="90"/>
      <c r="E1013" s="90"/>
      <c r="F1013" s="90"/>
      <c r="G1013" s="90"/>
      <c r="H1013" s="90"/>
      <c r="I1013" s="90"/>
      <c r="J1013" s="90"/>
      <c r="K1013" s="90"/>
      <c r="L1013" s="90"/>
      <c r="M1013" s="91"/>
      <c r="N1013" s="91"/>
      <c r="O1013" s="91"/>
      <c r="P1013" s="91"/>
      <c r="Q1013" s="91"/>
      <c r="R1013" s="91"/>
      <c r="S1013" s="91"/>
      <c r="T1013" s="91"/>
      <c r="U1013" s="91"/>
      <c r="V1013" s="91"/>
      <c r="W1013" s="91"/>
      <c r="X1013" s="91"/>
      <c r="Y1013" s="91"/>
      <c r="Z1013" s="91"/>
    </row>
    <row r="1014" ht="24.0" customHeight="1">
      <c r="B1014" s="90"/>
      <c r="C1014" s="90"/>
      <c r="D1014" s="90"/>
      <c r="E1014" s="90"/>
      <c r="F1014" s="90"/>
      <c r="G1014" s="90"/>
      <c r="H1014" s="90"/>
      <c r="I1014" s="90"/>
      <c r="J1014" s="90"/>
      <c r="K1014" s="90"/>
      <c r="L1014" s="90"/>
      <c r="M1014" s="91"/>
      <c r="N1014" s="91"/>
      <c r="O1014" s="91"/>
      <c r="P1014" s="91"/>
      <c r="Q1014" s="91"/>
      <c r="R1014" s="91"/>
      <c r="S1014" s="91"/>
      <c r="T1014" s="91"/>
      <c r="U1014" s="91"/>
      <c r="V1014" s="91"/>
      <c r="W1014" s="91"/>
      <c r="X1014" s="91"/>
      <c r="Y1014" s="91"/>
      <c r="Z1014" s="91"/>
    </row>
    <row r="1015" ht="24.0" customHeight="1">
      <c r="B1015" s="90"/>
      <c r="C1015" s="90"/>
      <c r="D1015" s="90"/>
      <c r="E1015" s="90"/>
      <c r="F1015" s="90"/>
      <c r="G1015" s="90"/>
      <c r="H1015" s="90"/>
      <c r="I1015" s="90"/>
      <c r="J1015" s="90"/>
      <c r="K1015" s="90"/>
      <c r="L1015" s="90"/>
      <c r="M1015" s="91"/>
      <c r="N1015" s="91"/>
      <c r="O1015" s="91"/>
      <c r="P1015" s="91"/>
      <c r="Q1015" s="91"/>
      <c r="R1015" s="91"/>
      <c r="S1015" s="91"/>
      <c r="T1015" s="91"/>
      <c r="U1015" s="91"/>
      <c r="V1015" s="91"/>
      <c r="W1015" s="91"/>
      <c r="X1015" s="91"/>
      <c r="Y1015" s="91"/>
      <c r="Z1015" s="91"/>
    </row>
    <row r="1016" ht="24.0" customHeight="1">
      <c r="B1016" s="90"/>
      <c r="C1016" s="90"/>
      <c r="D1016" s="90"/>
      <c r="E1016" s="90"/>
      <c r="F1016" s="90"/>
      <c r="G1016" s="90"/>
      <c r="H1016" s="90"/>
      <c r="I1016" s="90"/>
      <c r="J1016" s="90"/>
      <c r="K1016" s="90"/>
      <c r="L1016" s="90"/>
      <c r="M1016" s="91"/>
      <c r="N1016" s="91"/>
      <c r="O1016" s="91"/>
      <c r="P1016" s="91"/>
      <c r="Q1016" s="91"/>
      <c r="R1016" s="91"/>
      <c r="S1016" s="91"/>
      <c r="T1016" s="91"/>
      <c r="U1016" s="91"/>
      <c r="V1016" s="91"/>
      <c r="W1016" s="91"/>
      <c r="X1016" s="91"/>
      <c r="Y1016" s="91"/>
      <c r="Z1016" s="91"/>
    </row>
    <row r="1017" ht="24.0" customHeight="1">
      <c r="B1017" s="90"/>
      <c r="C1017" s="90"/>
      <c r="D1017" s="90"/>
      <c r="E1017" s="90"/>
      <c r="F1017" s="90"/>
      <c r="G1017" s="90"/>
      <c r="H1017" s="90"/>
      <c r="I1017" s="90"/>
      <c r="J1017" s="90"/>
      <c r="K1017" s="90"/>
      <c r="L1017" s="90"/>
      <c r="M1017" s="91"/>
      <c r="N1017" s="91"/>
      <c r="O1017" s="91"/>
      <c r="P1017" s="91"/>
      <c r="Q1017" s="91"/>
      <c r="R1017" s="91"/>
      <c r="S1017" s="91"/>
      <c r="T1017" s="91"/>
      <c r="U1017" s="91"/>
      <c r="V1017" s="91"/>
      <c r="W1017" s="91"/>
      <c r="X1017" s="91"/>
      <c r="Y1017" s="91"/>
      <c r="Z1017" s="91"/>
    </row>
    <row r="1018" ht="24.0" customHeight="1">
      <c r="B1018" s="90"/>
      <c r="C1018" s="90"/>
      <c r="D1018" s="90"/>
      <c r="E1018" s="90"/>
      <c r="F1018" s="90"/>
      <c r="G1018" s="90"/>
      <c r="H1018" s="90"/>
      <c r="I1018" s="90"/>
      <c r="J1018" s="90"/>
      <c r="K1018" s="90"/>
      <c r="L1018" s="90"/>
      <c r="M1018" s="91"/>
      <c r="N1018" s="91"/>
      <c r="O1018" s="91"/>
      <c r="P1018" s="91"/>
      <c r="Q1018" s="91"/>
      <c r="R1018" s="91"/>
      <c r="S1018" s="91"/>
      <c r="T1018" s="91"/>
      <c r="U1018" s="91"/>
      <c r="V1018" s="91"/>
      <c r="W1018" s="91"/>
      <c r="X1018" s="91"/>
      <c r="Y1018" s="91"/>
      <c r="Z1018" s="91"/>
    </row>
    <row r="1019" ht="24.0" customHeight="1">
      <c r="B1019" s="90"/>
      <c r="C1019" s="90"/>
      <c r="D1019" s="90"/>
      <c r="E1019" s="90"/>
      <c r="F1019" s="90"/>
      <c r="G1019" s="90"/>
      <c r="H1019" s="90"/>
      <c r="I1019" s="90"/>
      <c r="J1019" s="90"/>
      <c r="K1019" s="90"/>
      <c r="L1019" s="90"/>
      <c r="M1019" s="91"/>
      <c r="N1019" s="91"/>
      <c r="O1019" s="91"/>
      <c r="P1019" s="91"/>
      <c r="Q1019" s="91"/>
      <c r="R1019" s="91"/>
      <c r="S1019" s="91"/>
      <c r="T1019" s="91"/>
      <c r="U1019" s="91"/>
      <c r="V1019" s="91"/>
      <c r="W1019" s="91"/>
      <c r="X1019" s="91"/>
      <c r="Y1019" s="91"/>
      <c r="Z1019" s="91"/>
    </row>
    <row r="1020" ht="24.0" customHeight="1">
      <c r="B1020" s="90"/>
      <c r="C1020" s="90"/>
      <c r="D1020" s="90"/>
      <c r="E1020" s="90"/>
      <c r="F1020" s="90"/>
      <c r="G1020" s="90"/>
      <c r="H1020" s="90"/>
      <c r="I1020" s="90"/>
      <c r="J1020" s="90"/>
      <c r="K1020" s="90"/>
      <c r="L1020" s="90"/>
      <c r="M1020" s="91"/>
      <c r="N1020" s="91"/>
      <c r="O1020" s="91"/>
      <c r="P1020" s="91"/>
      <c r="Q1020" s="91"/>
      <c r="R1020" s="91"/>
      <c r="S1020" s="91"/>
      <c r="T1020" s="91"/>
      <c r="U1020" s="91"/>
      <c r="V1020" s="91"/>
      <c r="W1020" s="91"/>
      <c r="X1020" s="91"/>
      <c r="Y1020" s="91"/>
      <c r="Z1020" s="91"/>
    </row>
    <row r="1021" ht="24.0" customHeight="1">
      <c r="B1021" s="90"/>
      <c r="C1021" s="90"/>
      <c r="D1021" s="90"/>
      <c r="E1021" s="90"/>
      <c r="F1021" s="90"/>
      <c r="G1021" s="90"/>
      <c r="H1021" s="90"/>
      <c r="I1021" s="90"/>
      <c r="J1021" s="90"/>
      <c r="K1021" s="90"/>
      <c r="L1021" s="90"/>
      <c r="M1021" s="91"/>
      <c r="N1021" s="91"/>
      <c r="O1021" s="91"/>
      <c r="P1021" s="91"/>
      <c r="Q1021" s="91"/>
      <c r="R1021" s="91"/>
      <c r="S1021" s="91"/>
      <c r="T1021" s="91"/>
      <c r="U1021" s="91"/>
      <c r="V1021" s="91"/>
      <c r="W1021" s="91"/>
      <c r="X1021" s="91"/>
      <c r="Y1021" s="91"/>
      <c r="Z1021" s="91"/>
    </row>
    <row r="1022" ht="24.0" customHeight="1">
      <c r="B1022" s="90"/>
      <c r="C1022" s="90"/>
      <c r="D1022" s="90"/>
      <c r="E1022" s="90"/>
      <c r="F1022" s="90"/>
      <c r="G1022" s="90"/>
      <c r="H1022" s="90"/>
      <c r="I1022" s="90"/>
      <c r="J1022" s="90"/>
      <c r="K1022" s="90"/>
      <c r="L1022" s="90"/>
      <c r="M1022" s="91"/>
      <c r="N1022" s="91"/>
      <c r="O1022" s="91"/>
      <c r="P1022" s="91"/>
      <c r="Q1022" s="91"/>
      <c r="R1022" s="91"/>
      <c r="S1022" s="91"/>
      <c r="T1022" s="91"/>
      <c r="U1022" s="91"/>
      <c r="V1022" s="91"/>
      <c r="W1022" s="91"/>
      <c r="X1022" s="91"/>
      <c r="Y1022" s="91"/>
      <c r="Z1022" s="91"/>
    </row>
    <row r="1023" ht="24.0" customHeight="1">
      <c r="B1023" s="90"/>
      <c r="C1023" s="90"/>
      <c r="D1023" s="90"/>
      <c r="E1023" s="90"/>
      <c r="F1023" s="90"/>
      <c r="G1023" s="90"/>
      <c r="H1023" s="90"/>
      <c r="I1023" s="90"/>
      <c r="J1023" s="90"/>
      <c r="K1023" s="90"/>
      <c r="L1023" s="90"/>
      <c r="M1023" s="91"/>
      <c r="N1023" s="91"/>
      <c r="O1023" s="91"/>
      <c r="P1023" s="91"/>
      <c r="Q1023" s="91"/>
      <c r="R1023" s="91"/>
      <c r="S1023" s="91"/>
      <c r="T1023" s="91"/>
      <c r="U1023" s="91"/>
      <c r="V1023" s="91"/>
      <c r="W1023" s="91"/>
      <c r="X1023" s="91"/>
      <c r="Y1023" s="91"/>
      <c r="Z1023" s="91"/>
    </row>
    <row r="1024" ht="24.0" customHeight="1">
      <c r="B1024" s="90"/>
      <c r="C1024" s="90"/>
      <c r="D1024" s="90"/>
      <c r="E1024" s="90"/>
      <c r="F1024" s="90"/>
      <c r="G1024" s="90"/>
      <c r="H1024" s="90"/>
      <c r="I1024" s="90"/>
      <c r="J1024" s="90"/>
      <c r="K1024" s="90"/>
      <c r="L1024" s="90"/>
      <c r="M1024" s="91"/>
      <c r="N1024" s="91"/>
      <c r="O1024" s="91"/>
      <c r="P1024" s="91"/>
      <c r="Q1024" s="91"/>
      <c r="R1024" s="91"/>
      <c r="S1024" s="91"/>
      <c r="T1024" s="91"/>
      <c r="U1024" s="91"/>
      <c r="V1024" s="91"/>
      <c r="W1024" s="91"/>
      <c r="X1024" s="91"/>
      <c r="Y1024" s="91"/>
      <c r="Z1024" s="91"/>
    </row>
    <row r="1025" ht="24.0" customHeight="1">
      <c r="B1025" s="90"/>
      <c r="C1025" s="90"/>
      <c r="D1025" s="90"/>
      <c r="E1025" s="90"/>
      <c r="F1025" s="90"/>
      <c r="G1025" s="90"/>
      <c r="H1025" s="90"/>
      <c r="I1025" s="90"/>
      <c r="J1025" s="90"/>
      <c r="K1025" s="90"/>
      <c r="L1025" s="90"/>
      <c r="M1025" s="91"/>
      <c r="N1025" s="91"/>
      <c r="O1025" s="91"/>
      <c r="P1025" s="91"/>
      <c r="Q1025" s="91"/>
      <c r="R1025" s="91"/>
      <c r="S1025" s="91"/>
      <c r="T1025" s="91"/>
      <c r="U1025" s="91"/>
      <c r="V1025" s="91"/>
      <c r="W1025" s="91"/>
      <c r="X1025" s="91"/>
      <c r="Y1025" s="91"/>
      <c r="Z1025" s="91"/>
    </row>
    <row r="1026" ht="24.0" customHeight="1">
      <c r="B1026" s="90"/>
      <c r="C1026" s="90"/>
      <c r="D1026" s="90"/>
      <c r="E1026" s="90"/>
      <c r="F1026" s="90"/>
      <c r="G1026" s="90"/>
      <c r="H1026" s="90"/>
      <c r="I1026" s="90"/>
      <c r="J1026" s="90"/>
      <c r="K1026" s="90"/>
      <c r="L1026" s="90"/>
      <c r="M1026" s="91"/>
      <c r="N1026" s="91"/>
      <c r="O1026" s="91"/>
      <c r="P1026" s="91"/>
      <c r="Q1026" s="91"/>
      <c r="R1026" s="91"/>
      <c r="S1026" s="91"/>
      <c r="T1026" s="91"/>
      <c r="U1026" s="91"/>
      <c r="V1026" s="91"/>
      <c r="W1026" s="91"/>
      <c r="X1026" s="91"/>
      <c r="Y1026" s="91"/>
      <c r="Z1026" s="91"/>
    </row>
    <row r="1027" ht="24.0" customHeight="1">
      <c r="B1027" s="90"/>
      <c r="C1027" s="90"/>
      <c r="D1027" s="90"/>
      <c r="E1027" s="90"/>
      <c r="F1027" s="90"/>
      <c r="G1027" s="90"/>
      <c r="H1027" s="90"/>
      <c r="I1027" s="90"/>
      <c r="J1027" s="90"/>
      <c r="K1027" s="90"/>
      <c r="L1027" s="90"/>
      <c r="M1027" s="91"/>
      <c r="N1027" s="91"/>
      <c r="O1027" s="91"/>
      <c r="P1027" s="91"/>
      <c r="Q1027" s="91"/>
      <c r="R1027" s="91"/>
      <c r="S1027" s="91"/>
      <c r="T1027" s="91"/>
      <c r="U1027" s="91"/>
      <c r="V1027" s="91"/>
      <c r="W1027" s="91"/>
      <c r="X1027" s="91"/>
      <c r="Y1027" s="91"/>
      <c r="Z1027" s="91"/>
    </row>
    <row r="1028" ht="24.0" customHeight="1">
      <c r="B1028" s="90"/>
      <c r="C1028" s="90"/>
      <c r="D1028" s="90"/>
      <c r="E1028" s="90"/>
      <c r="F1028" s="90"/>
      <c r="G1028" s="90"/>
      <c r="H1028" s="90"/>
      <c r="I1028" s="90"/>
      <c r="J1028" s="90"/>
      <c r="K1028" s="90"/>
      <c r="L1028" s="90"/>
      <c r="M1028" s="91"/>
      <c r="N1028" s="91"/>
      <c r="O1028" s="91"/>
      <c r="P1028" s="91"/>
      <c r="Q1028" s="91"/>
      <c r="R1028" s="91"/>
      <c r="S1028" s="91"/>
      <c r="T1028" s="91"/>
      <c r="U1028" s="91"/>
      <c r="V1028" s="91"/>
      <c r="W1028" s="91"/>
      <c r="X1028" s="91"/>
      <c r="Y1028" s="91"/>
      <c r="Z1028" s="91"/>
    </row>
    <row r="1029" ht="24.0" customHeight="1">
      <c r="B1029" s="90"/>
      <c r="C1029" s="90"/>
      <c r="D1029" s="90"/>
      <c r="E1029" s="90"/>
      <c r="F1029" s="90"/>
      <c r="G1029" s="90"/>
      <c r="H1029" s="90"/>
      <c r="I1029" s="90"/>
      <c r="J1029" s="90"/>
      <c r="K1029" s="90"/>
      <c r="L1029" s="90"/>
      <c r="M1029" s="91"/>
      <c r="N1029" s="91"/>
      <c r="O1029" s="91"/>
      <c r="P1029" s="91"/>
      <c r="Q1029" s="91"/>
      <c r="R1029" s="91"/>
      <c r="S1029" s="91"/>
      <c r="T1029" s="91"/>
      <c r="U1029" s="91"/>
      <c r="V1029" s="91"/>
      <c r="W1029" s="91"/>
      <c r="X1029" s="91"/>
      <c r="Y1029" s="91"/>
      <c r="Z1029" s="91"/>
    </row>
    <row r="1030" ht="24.0" customHeight="1">
      <c r="B1030" s="90"/>
      <c r="C1030" s="90"/>
      <c r="D1030" s="90"/>
      <c r="E1030" s="90"/>
      <c r="F1030" s="90"/>
      <c r="G1030" s="90"/>
      <c r="H1030" s="90"/>
      <c r="I1030" s="90"/>
      <c r="J1030" s="90"/>
      <c r="K1030" s="90"/>
      <c r="L1030" s="90"/>
      <c r="M1030" s="91"/>
      <c r="N1030" s="91"/>
      <c r="O1030" s="91"/>
      <c r="P1030" s="91"/>
      <c r="Q1030" s="91"/>
      <c r="R1030" s="91"/>
      <c r="S1030" s="91"/>
      <c r="T1030" s="91"/>
      <c r="U1030" s="91"/>
      <c r="V1030" s="91"/>
      <c r="W1030" s="91"/>
      <c r="X1030" s="91"/>
      <c r="Y1030" s="91"/>
      <c r="Z1030" s="91"/>
    </row>
    <row r="1031" ht="24.0" customHeight="1">
      <c r="B1031" s="90"/>
      <c r="C1031" s="90"/>
      <c r="D1031" s="90"/>
      <c r="E1031" s="90"/>
      <c r="F1031" s="90"/>
      <c r="G1031" s="90"/>
      <c r="H1031" s="90"/>
      <c r="I1031" s="90"/>
      <c r="J1031" s="90"/>
      <c r="K1031" s="90"/>
      <c r="L1031" s="90"/>
      <c r="M1031" s="91"/>
      <c r="N1031" s="91"/>
      <c r="O1031" s="91"/>
      <c r="P1031" s="91"/>
      <c r="Q1031" s="91"/>
      <c r="R1031" s="91"/>
      <c r="S1031" s="91"/>
      <c r="T1031" s="91"/>
      <c r="U1031" s="91"/>
      <c r="V1031" s="91"/>
      <c r="W1031" s="91"/>
      <c r="X1031" s="91"/>
      <c r="Y1031" s="91"/>
      <c r="Z1031" s="91"/>
    </row>
    <row r="1032" ht="24.0" customHeight="1">
      <c r="B1032" s="90"/>
      <c r="C1032" s="90"/>
      <c r="D1032" s="90"/>
      <c r="E1032" s="90"/>
      <c r="F1032" s="90"/>
      <c r="G1032" s="90"/>
      <c r="H1032" s="90"/>
      <c r="I1032" s="90"/>
      <c r="J1032" s="90"/>
      <c r="K1032" s="90"/>
      <c r="L1032" s="90"/>
      <c r="M1032" s="91"/>
      <c r="N1032" s="91"/>
      <c r="O1032" s="91"/>
      <c r="P1032" s="91"/>
      <c r="Q1032" s="91"/>
      <c r="R1032" s="91"/>
      <c r="S1032" s="91"/>
      <c r="T1032" s="91"/>
      <c r="U1032" s="91"/>
      <c r="V1032" s="91"/>
      <c r="W1032" s="91"/>
      <c r="X1032" s="91"/>
      <c r="Y1032" s="91"/>
      <c r="Z1032" s="91"/>
    </row>
    <row r="1033" ht="24.0" customHeight="1">
      <c r="B1033" s="90"/>
      <c r="C1033" s="90"/>
      <c r="D1033" s="90"/>
      <c r="E1033" s="90"/>
      <c r="F1033" s="90"/>
      <c r="G1033" s="90"/>
      <c r="H1033" s="90"/>
      <c r="I1033" s="90"/>
      <c r="J1033" s="90"/>
      <c r="K1033" s="90"/>
      <c r="L1033" s="90"/>
      <c r="M1033" s="91"/>
      <c r="N1033" s="91"/>
      <c r="O1033" s="91"/>
      <c r="P1033" s="91"/>
      <c r="Q1033" s="91"/>
      <c r="R1033" s="91"/>
      <c r="S1033" s="91"/>
      <c r="T1033" s="91"/>
      <c r="U1033" s="91"/>
      <c r="V1033" s="91"/>
      <c r="W1033" s="91"/>
      <c r="X1033" s="91"/>
      <c r="Y1033" s="91"/>
      <c r="Z1033" s="91"/>
    </row>
    <row r="1034" ht="24.0" customHeight="1">
      <c r="B1034" s="90"/>
      <c r="C1034" s="90"/>
      <c r="D1034" s="90"/>
      <c r="E1034" s="90"/>
      <c r="F1034" s="90"/>
      <c r="G1034" s="90"/>
      <c r="H1034" s="90"/>
      <c r="I1034" s="90"/>
      <c r="J1034" s="90"/>
      <c r="K1034" s="90"/>
      <c r="L1034" s="90"/>
      <c r="M1034" s="91"/>
      <c r="N1034" s="91"/>
      <c r="O1034" s="91"/>
      <c r="P1034" s="91"/>
      <c r="Q1034" s="91"/>
      <c r="R1034" s="91"/>
      <c r="S1034" s="91"/>
      <c r="T1034" s="91"/>
      <c r="U1034" s="91"/>
      <c r="V1034" s="91"/>
      <c r="W1034" s="91"/>
      <c r="X1034" s="91"/>
      <c r="Y1034" s="91"/>
      <c r="Z1034" s="91"/>
    </row>
    <row r="1035" ht="24.0" customHeight="1">
      <c r="B1035" s="90"/>
      <c r="C1035" s="90"/>
      <c r="D1035" s="90"/>
      <c r="E1035" s="90"/>
      <c r="F1035" s="90"/>
      <c r="G1035" s="90"/>
      <c r="H1035" s="90"/>
      <c r="I1035" s="90"/>
      <c r="J1035" s="90"/>
      <c r="K1035" s="90"/>
      <c r="L1035" s="90"/>
      <c r="M1035" s="91"/>
      <c r="N1035" s="91"/>
      <c r="O1035" s="91"/>
      <c r="P1035" s="91"/>
      <c r="Q1035" s="91"/>
      <c r="R1035" s="91"/>
      <c r="S1035" s="91"/>
      <c r="T1035" s="91"/>
      <c r="U1035" s="91"/>
      <c r="V1035" s="91"/>
      <c r="W1035" s="91"/>
      <c r="X1035" s="91"/>
      <c r="Y1035" s="91"/>
      <c r="Z1035" s="91"/>
    </row>
    <row r="1036" ht="24.0" customHeight="1">
      <c r="B1036" s="90"/>
      <c r="C1036" s="90"/>
      <c r="D1036" s="90"/>
      <c r="E1036" s="90"/>
      <c r="F1036" s="90"/>
      <c r="G1036" s="90"/>
      <c r="H1036" s="90"/>
      <c r="I1036" s="90"/>
      <c r="J1036" s="90"/>
      <c r="K1036" s="90"/>
      <c r="L1036" s="90"/>
      <c r="M1036" s="91"/>
      <c r="N1036" s="91"/>
      <c r="O1036" s="91"/>
      <c r="P1036" s="91"/>
      <c r="Q1036" s="91"/>
      <c r="R1036" s="91"/>
      <c r="S1036" s="91"/>
      <c r="T1036" s="91"/>
      <c r="U1036" s="91"/>
      <c r="V1036" s="91"/>
      <c r="W1036" s="91"/>
      <c r="X1036" s="91"/>
      <c r="Y1036" s="91"/>
      <c r="Z1036" s="91"/>
    </row>
    <row r="1037" ht="24.0" customHeight="1">
      <c r="B1037" s="90"/>
      <c r="C1037" s="90"/>
      <c r="D1037" s="90"/>
      <c r="E1037" s="90"/>
      <c r="F1037" s="90"/>
      <c r="G1037" s="90"/>
      <c r="H1037" s="90"/>
      <c r="I1037" s="90"/>
      <c r="J1037" s="90"/>
      <c r="K1037" s="90"/>
      <c r="L1037" s="90"/>
      <c r="M1037" s="91"/>
      <c r="N1037" s="91"/>
      <c r="O1037" s="91"/>
      <c r="P1037" s="91"/>
      <c r="Q1037" s="91"/>
      <c r="R1037" s="91"/>
      <c r="S1037" s="91"/>
      <c r="T1037" s="91"/>
      <c r="U1037" s="91"/>
      <c r="V1037" s="91"/>
      <c r="W1037" s="91"/>
      <c r="X1037" s="91"/>
      <c r="Y1037" s="91"/>
      <c r="Z1037" s="91"/>
    </row>
    <row r="1038" ht="24.0" customHeight="1">
      <c r="B1038" s="90"/>
      <c r="C1038" s="90"/>
      <c r="D1038" s="90"/>
      <c r="E1038" s="90"/>
      <c r="F1038" s="90"/>
      <c r="G1038" s="90"/>
      <c r="H1038" s="90"/>
      <c r="I1038" s="90"/>
      <c r="J1038" s="90"/>
      <c r="K1038" s="90"/>
      <c r="L1038" s="90"/>
      <c r="M1038" s="91"/>
      <c r="N1038" s="91"/>
      <c r="O1038" s="91"/>
      <c r="P1038" s="91"/>
      <c r="Q1038" s="91"/>
      <c r="R1038" s="91"/>
      <c r="S1038" s="91"/>
      <c r="T1038" s="91"/>
      <c r="U1038" s="91"/>
      <c r="V1038" s="91"/>
      <c r="W1038" s="91"/>
      <c r="X1038" s="91"/>
      <c r="Y1038" s="91"/>
      <c r="Z1038" s="91"/>
    </row>
    <row r="1039" ht="24.0" customHeight="1">
      <c r="B1039" s="90"/>
      <c r="C1039" s="90"/>
      <c r="D1039" s="90"/>
      <c r="E1039" s="90"/>
      <c r="F1039" s="90"/>
      <c r="G1039" s="90"/>
      <c r="H1039" s="90"/>
      <c r="I1039" s="90"/>
      <c r="J1039" s="90"/>
      <c r="K1039" s="90"/>
      <c r="L1039" s="90"/>
      <c r="M1039" s="91"/>
      <c r="N1039" s="91"/>
      <c r="O1039" s="91"/>
      <c r="P1039" s="91"/>
      <c r="Q1039" s="91"/>
      <c r="R1039" s="91"/>
      <c r="S1039" s="91"/>
      <c r="T1039" s="91"/>
      <c r="U1039" s="91"/>
      <c r="V1039" s="91"/>
      <c r="W1039" s="91"/>
      <c r="X1039" s="91"/>
      <c r="Y1039" s="91"/>
      <c r="Z1039" s="91"/>
    </row>
    <row r="1040" ht="24.0" customHeight="1">
      <c r="B1040" s="90"/>
      <c r="C1040" s="90"/>
      <c r="D1040" s="90"/>
      <c r="E1040" s="90"/>
      <c r="F1040" s="90"/>
      <c r="G1040" s="90"/>
      <c r="H1040" s="90"/>
      <c r="I1040" s="90"/>
      <c r="J1040" s="90"/>
      <c r="K1040" s="90"/>
      <c r="L1040" s="90"/>
      <c r="M1040" s="91"/>
      <c r="N1040" s="91"/>
      <c r="O1040" s="91"/>
      <c r="P1040" s="91"/>
      <c r="Q1040" s="91"/>
      <c r="R1040" s="91"/>
      <c r="S1040" s="91"/>
      <c r="T1040" s="91"/>
      <c r="U1040" s="91"/>
      <c r="V1040" s="91"/>
      <c r="W1040" s="91"/>
      <c r="X1040" s="91"/>
      <c r="Y1040" s="91"/>
      <c r="Z1040" s="91"/>
    </row>
    <row r="1041" ht="24.0" customHeight="1">
      <c r="B1041" s="90"/>
      <c r="C1041" s="90"/>
      <c r="D1041" s="90"/>
      <c r="E1041" s="90"/>
      <c r="F1041" s="90"/>
      <c r="G1041" s="90"/>
      <c r="H1041" s="90"/>
      <c r="I1041" s="90"/>
      <c r="J1041" s="90"/>
      <c r="K1041" s="90"/>
      <c r="L1041" s="90"/>
      <c r="M1041" s="91"/>
      <c r="N1041" s="91"/>
      <c r="O1041" s="91"/>
      <c r="P1041" s="91"/>
      <c r="Q1041" s="91"/>
      <c r="R1041" s="91"/>
      <c r="S1041" s="91"/>
      <c r="T1041" s="91"/>
      <c r="U1041" s="91"/>
      <c r="V1041" s="91"/>
      <c r="W1041" s="91"/>
      <c r="X1041" s="91"/>
      <c r="Y1041" s="91"/>
      <c r="Z1041" s="91"/>
    </row>
    <row r="1042" ht="24.0" customHeight="1">
      <c r="B1042" s="90"/>
      <c r="C1042" s="90"/>
      <c r="D1042" s="90"/>
      <c r="E1042" s="90"/>
      <c r="F1042" s="90"/>
      <c r="G1042" s="90"/>
      <c r="H1042" s="90"/>
      <c r="I1042" s="90"/>
      <c r="J1042" s="90"/>
      <c r="K1042" s="90"/>
      <c r="L1042" s="90"/>
      <c r="M1042" s="91"/>
      <c r="N1042" s="91"/>
      <c r="O1042" s="91"/>
      <c r="P1042" s="91"/>
      <c r="Q1042" s="91"/>
      <c r="R1042" s="91"/>
      <c r="S1042" s="91"/>
      <c r="T1042" s="91"/>
      <c r="U1042" s="91"/>
      <c r="V1042" s="91"/>
      <c r="W1042" s="91"/>
      <c r="X1042" s="91"/>
      <c r="Y1042" s="91"/>
      <c r="Z1042" s="91"/>
    </row>
    <row r="1043" ht="24.0" customHeight="1">
      <c r="B1043" s="90"/>
      <c r="C1043" s="90"/>
      <c r="D1043" s="90"/>
      <c r="E1043" s="90"/>
      <c r="F1043" s="90"/>
      <c r="G1043" s="90"/>
      <c r="H1043" s="90"/>
      <c r="I1043" s="90"/>
      <c r="J1043" s="90"/>
      <c r="K1043" s="90"/>
      <c r="L1043" s="90"/>
      <c r="M1043" s="91"/>
      <c r="N1043" s="91"/>
      <c r="O1043" s="91"/>
      <c r="P1043" s="91"/>
      <c r="Q1043" s="91"/>
      <c r="R1043" s="91"/>
      <c r="S1043" s="91"/>
      <c r="T1043" s="91"/>
      <c r="U1043" s="91"/>
      <c r="V1043" s="91"/>
      <c r="W1043" s="91"/>
      <c r="X1043" s="91"/>
      <c r="Y1043" s="91"/>
      <c r="Z1043" s="91"/>
    </row>
    <row r="1044" ht="24.0" customHeight="1">
      <c r="B1044" s="90"/>
      <c r="C1044" s="90"/>
      <c r="D1044" s="90"/>
      <c r="E1044" s="90"/>
      <c r="F1044" s="90"/>
      <c r="G1044" s="90"/>
      <c r="H1044" s="90"/>
      <c r="I1044" s="90"/>
      <c r="J1044" s="90"/>
      <c r="K1044" s="90"/>
      <c r="L1044" s="90"/>
      <c r="M1044" s="91"/>
      <c r="N1044" s="91"/>
      <c r="O1044" s="91"/>
      <c r="P1044" s="91"/>
      <c r="Q1044" s="91"/>
      <c r="R1044" s="91"/>
      <c r="S1044" s="91"/>
      <c r="T1044" s="91"/>
      <c r="U1044" s="91"/>
      <c r="V1044" s="91"/>
      <c r="W1044" s="91"/>
      <c r="X1044" s="91"/>
      <c r="Y1044" s="91"/>
      <c r="Z1044" s="91"/>
    </row>
    <row r="1045" ht="24.0" customHeight="1">
      <c r="B1045" s="90"/>
      <c r="C1045" s="90"/>
      <c r="D1045" s="90"/>
      <c r="E1045" s="90"/>
      <c r="F1045" s="90"/>
      <c r="G1045" s="90"/>
      <c r="H1045" s="90"/>
      <c r="I1045" s="90"/>
      <c r="J1045" s="90"/>
      <c r="K1045" s="90"/>
      <c r="L1045" s="90"/>
      <c r="M1045" s="91"/>
      <c r="N1045" s="91"/>
      <c r="O1045" s="91"/>
      <c r="P1045" s="91"/>
      <c r="Q1045" s="91"/>
      <c r="R1045" s="91"/>
      <c r="S1045" s="91"/>
      <c r="T1045" s="91"/>
      <c r="U1045" s="91"/>
      <c r="V1045" s="91"/>
      <c r="W1045" s="91"/>
      <c r="X1045" s="91"/>
      <c r="Y1045" s="91"/>
      <c r="Z1045" s="91"/>
    </row>
    <row r="1046" ht="24.0" customHeight="1">
      <c r="B1046" s="90"/>
      <c r="C1046" s="90"/>
      <c r="D1046" s="90"/>
      <c r="E1046" s="90"/>
      <c r="F1046" s="90"/>
      <c r="G1046" s="90"/>
      <c r="H1046" s="90"/>
      <c r="I1046" s="90"/>
      <c r="J1046" s="90"/>
      <c r="K1046" s="90"/>
      <c r="L1046" s="90"/>
      <c r="M1046" s="91"/>
      <c r="N1046" s="91"/>
      <c r="O1046" s="91"/>
      <c r="P1046" s="91"/>
      <c r="Q1046" s="91"/>
      <c r="R1046" s="91"/>
      <c r="S1046" s="91"/>
      <c r="T1046" s="91"/>
      <c r="U1046" s="91"/>
      <c r="V1046" s="91"/>
      <c r="W1046" s="91"/>
      <c r="X1046" s="91"/>
      <c r="Y1046" s="91"/>
      <c r="Z1046" s="91"/>
    </row>
    <row r="1047" ht="24.0" customHeight="1">
      <c r="B1047" s="90"/>
      <c r="C1047" s="90"/>
      <c r="D1047" s="90"/>
      <c r="E1047" s="90"/>
      <c r="F1047" s="90"/>
      <c r="G1047" s="90"/>
      <c r="H1047" s="90"/>
      <c r="I1047" s="90"/>
      <c r="J1047" s="90"/>
      <c r="K1047" s="90"/>
      <c r="L1047" s="90"/>
      <c r="M1047" s="91"/>
      <c r="N1047" s="91"/>
      <c r="O1047" s="91"/>
      <c r="P1047" s="91"/>
      <c r="Q1047" s="91"/>
      <c r="R1047" s="91"/>
      <c r="S1047" s="91"/>
      <c r="T1047" s="91"/>
      <c r="U1047" s="91"/>
      <c r="V1047" s="91"/>
      <c r="W1047" s="91"/>
      <c r="X1047" s="91"/>
      <c r="Y1047" s="91"/>
      <c r="Z1047" s="91"/>
    </row>
    <row r="1048" ht="24.0" customHeight="1">
      <c r="B1048" s="90"/>
      <c r="C1048" s="90"/>
      <c r="D1048" s="90"/>
      <c r="E1048" s="90"/>
      <c r="F1048" s="90"/>
      <c r="G1048" s="90"/>
      <c r="H1048" s="90"/>
      <c r="I1048" s="90"/>
      <c r="J1048" s="90"/>
      <c r="K1048" s="90"/>
      <c r="L1048" s="90"/>
      <c r="M1048" s="91"/>
      <c r="N1048" s="91"/>
      <c r="O1048" s="91"/>
      <c r="P1048" s="91"/>
      <c r="Q1048" s="91"/>
      <c r="R1048" s="91"/>
      <c r="S1048" s="91"/>
      <c r="T1048" s="91"/>
      <c r="U1048" s="91"/>
      <c r="V1048" s="91"/>
      <c r="W1048" s="91"/>
      <c r="X1048" s="91"/>
      <c r="Y1048" s="91"/>
      <c r="Z1048" s="91"/>
    </row>
    <row r="1049" ht="24.0" customHeight="1">
      <c r="B1049" s="90"/>
      <c r="C1049" s="90"/>
      <c r="D1049" s="90"/>
      <c r="E1049" s="90"/>
      <c r="F1049" s="90"/>
      <c r="G1049" s="90"/>
      <c r="H1049" s="90"/>
      <c r="I1049" s="90"/>
      <c r="J1049" s="90"/>
      <c r="K1049" s="90"/>
      <c r="L1049" s="90"/>
      <c r="M1049" s="91"/>
      <c r="N1049" s="91"/>
      <c r="O1049" s="91"/>
      <c r="P1049" s="91"/>
      <c r="Q1049" s="91"/>
      <c r="R1049" s="91"/>
      <c r="S1049" s="91"/>
      <c r="T1049" s="91"/>
      <c r="U1049" s="91"/>
      <c r="V1049" s="91"/>
      <c r="W1049" s="91"/>
      <c r="X1049" s="91"/>
      <c r="Y1049" s="91"/>
      <c r="Z1049" s="91"/>
    </row>
    <row r="1050" ht="24.0" customHeight="1">
      <c r="B1050" s="90"/>
      <c r="C1050" s="90"/>
      <c r="D1050" s="90"/>
      <c r="E1050" s="90"/>
      <c r="F1050" s="90"/>
      <c r="G1050" s="90"/>
      <c r="H1050" s="90"/>
      <c r="I1050" s="90"/>
      <c r="J1050" s="90"/>
      <c r="K1050" s="90"/>
      <c r="L1050" s="90"/>
      <c r="M1050" s="91"/>
      <c r="N1050" s="91"/>
      <c r="O1050" s="91"/>
      <c r="P1050" s="91"/>
      <c r="Q1050" s="91"/>
      <c r="R1050" s="91"/>
      <c r="S1050" s="91"/>
      <c r="T1050" s="91"/>
      <c r="U1050" s="91"/>
      <c r="V1050" s="91"/>
      <c r="W1050" s="91"/>
      <c r="X1050" s="91"/>
      <c r="Y1050" s="91"/>
      <c r="Z1050" s="91"/>
    </row>
    <row r="1051" ht="24.0" customHeight="1">
      <c r="B1051" s="90"/>
      <c r="C1051" s="90"/>
      <c r="D1051" s="90"/>
      <c r="E1051" s="90"/>
      <c r="F1051" s="90"/>
      <c r="G1051" s="90"/>
      <c r="H1051" s="90"/>
      <c r="I1051" s="90"/>
      <c r="J1051" s="90"/>
      <c r="K1051" s="90"/>
      <c r="L1051" s="90"/>
      <c r="M1051" s="91"/>
      <c r="N1051" s="91"/>
      <c r="O1051" s="91"/>
      <c r="P1051" s="91"/>
      <c r="Q1051" s="91"/>
      <c r="R1051" s="91"/>
      <c r="S1051" s="91"/>
      <c r="T1051" s="91"/>
      <c r="U1051" s="91"/>
      <c r="V1051" s="91"/>
      <c r="W1051" s="91"/>
      <c r="X1051" s="91"/>
      <c r="Y1051" s="91"/>
      <c r="Z1051" s="91"/>
    </row>
    <row r="1052" ht="24.0" customHeight="1">
      <c r="B1052" s="90"/>
      <c r="C1052" s="90"/>
      <c r="D1052" s="90"/>
      <c r="E1052" s="90"/>
      <c r="F1052" s="90"/>
      <c r="G1052" s="90"/>
      <c r="H1052" s="90"/>
      <c r="I1052" s="90"/>
      <c r="J1052" s="90"/>
      <c r="K1052" s="90"/>
      <c r="L1052" s="90"/>
      <c r="M1052" s="91"/>
      <c r="N1052" s="91"/>
      <c r="O1052" s="91"/>
      <c r="P1052" s="91"/>
      <c r="Q1052" s="91"/>
      <c r="R1052" s="91"/>
      <c r="S1052" s="91"/>
      <c r="T1052" s="91"/>
      <c r="U1052" s="91"/>
      <c r="V1052" s="91"/>
      <c r="W1052" s="91"/>
      <c r="X1052" s="91"/>
      <c r="Y1052" s="91"/>
      <c r="Z1052" s="91"/>
    </row>
    <row r="1053" ht="24.0" customHeight="1">
      <c r="B1053" s="90"/>
      <c r="C1053" s="90"/>
      <c r="D1053" s="90"/>
      <c r="E1053" s="90"/>
      <c r="F1053" s="90"/>
      <c r="G1053" s="90"/>
      <c r="H1053" s="90"/>
      <c r="I1053" s="90"/>
      <c r="J1053" s="90"/>
      <c r="K1053" s="90"/>
      <c r="L1053" s="90"/>
      <c r="M1053" s="91"/>
      <c r="N1053" s="91"/>
      <c r="O1053" s="91"/>
      <c r="P1053" s="91"/>
      <c r="Q1053" s="91"/>
      <c r="R1053" s="91"/>
      <c r="S1053" s="91"/>
      <c r="T1053" s="91"/>
      <c r="U1053" s="91"/>
      <c r="V1053" s="91"/>
      <c r="W1053" s="91"/>
      <c r="X1053" s="91"/>
      <c r="Y1053" s="91"/>
      <c r="Z1053" s="91"/>
    </row>
    <row r="1054" ht="24.0" customHeight="1">
      <c r="B1054" s="90"/>
      <c r="C1054" s="90"/>
      <c r="D1054" s="90"/>
      <c r="E1054" s="90"/>
      <c r="F1054" s="90"/>
      <c r="G1054" s="90"/>
      <c r="H1054" s="90"/>
      <c r="I1054" s="90"/>
      <c r="J1054" s="90"/>
      <c r="K1054" s="90"/>
      <c r="L1054" s="90"/>
      <c r="M1054" s="91"/>
      <c r="N1054" s="91"/>
      <c r="O1054" s="91"/>
      <c r="P1054" s="91"/>
      <c r="Q1054" s="91"/>
      <c r="R1054" s="91"/>
      <c r="S1054" s="91"/>
      <c r="T1054" s="91"/>
      <c r="U1054" s="91"/>
      <c r="V1054" s="91"/>
      <c r="W1054" s="91"/>
      <c r="X1054" s="91"/>
      <c r="Y1054" s="91"/>
      <c r="Z1054" s="91"/>
    </row>
    <row r="1055" ht="24.0" customHeight="1">
      <c r="B1055" s="90"/>
      <c r="C1055" s="90"/>
      <c r="D1055" s="90"/>
      <c r="E1055" s="90"/>
      <c r="F1055" s="90"/>
      <c r="G1055" s="90"/>
      <c r="H1055" s="90"/>
      <c r="I1055" s="90"/>
      <c r="J1055" s="90"/>
      <c r="K1055" s="90"/>
      <c r="L1055" s="90"/>
      <c r="M1055" s="91"/>
      <c r="N1055" s="91"/>
      <c r="O1055" s="91"/>
      <c r="P1055" s="91"/>
      <c r="Q1055" s="91"/>
      <c r="R1055" s="91"/>
      <c r="S1055" s="91"/>
      <c r="T1055" s="91"/>
      <c r="U1055" s="91"/>
      <c r="V1055" s="91"/>
      <c r="W1055" s="91"/>
      <c r="X1055" s="91"/>
      <c r="Y1055" s="91"/>
      <c r="Z1055" s="91"/>
    </row>
    <row r="1056" ht="24.0" customHeight="1">
      <c r="B1056" s="90"/>
      <c r="C1056" s="90"/>
      <c r="D1056" s="90"/>
      <c r="E1056" s="90"/>
      <c r="F1056" s="90"/>
      <c r="G1056" s="90"/>
      <c r="H1056" s="90"/>
      <c r="I1056" s="90"/>
      <c r="J1056" s="90"/>
      <c r="K1056" s="90"/>
      <c r="L1056" s="90"/>
      <c r="M1056" s="91"/>
      <c r="N1056" s="91"/>
      <c r="O1056" s="91"/>
      <c r="P1056" s="91"/>
      <c r="Q1056" s="91"/>
      <c r="R1056" s="91"/>
      <c r="S1056" s="91"/>
      <c r="T1056" s="91"/>
      <c r="U1056" s="91"/>
      <c r="V1056" s="91"/>
      <c r="W1056" s="91"/>
      <c r="X1056" s="91"/>
      <c r="Y1056" s="91"/>
      <c r="Z1056" s="91"/>
    </row>
    <row r="1057" ht="24.0" customHeight="1">
      <c r="B1057" s="90"/>
      <c r="C1057" s="90"/>
      <c r="D1057" s="90"/>
      <c r="E1057" s="90"/>
      <c r="F1057" s="90"/>
      <c r="G1057" s="90"/>
      <c r="H1057" s="90"/>
      <c r="I1057" s="90"/>
      <c r="J1057" s="90"/>
      <c r="K1057" s="90"/>
      <c r="L1057" s="90"/>
      <c r="M1057" s="91"/>
      <c r="N1057" s="91"/>
      <c r="O1057" s="91"/>
      <c r="P1057" s="91"/>
      <c r="Q1057" s="91"/>
      <c r="R1057" s="91"/>
      <c r="S1057" s="91"/>
      <c r="T1057" s="91"/>
      <c r="U1057" s="91"/>
      <c r="V1057" s="91"/>
      <c r="W1057" s="91"/>
      <c r="X1057" s="91"/>
      <c r="Y1057" s="91"/>
      <c r="Z1057" s="91"/>
    </row>
    <row r="1058" ht="24.0" customHeight="1">
      <c r="B1058" s="90"/>
      <c r="C1058" s="90"/>
      <c r="D1058" s="90"/>
      <c r="E1058" s="90"/>
      <c r="F1058" s="90"/>
      <c r="G1058" s="90"/>
      <c r="H1058" s="90"/>
      <c r="I1058" s="90"/>
      <c r="J1058" s="90"/>
      <c r="K1058" s="90"/>
      <c r="L1058" s="90"/>
      <c r="M1058" s="91"/>
      <c r="N1058" s="91"/>
      <c r="O1058" s="91"/>
      <c r="P1058" s="91"/>
      <c r="Q1058" s="91"/>
      <c r="R1058" s="91"/>
      <c r="S1058" s="91"/>
      <c r="T1058" s="91"/>
      <c r="U1058" s="91"/>
      <c r="V1058" s="91"/>
      <c r="W1058" s="91"/>
      <c r="X1058" s="91"/>
      <c r="Y1058" s="91"/>
      <c r="Z1058" s="91"/>
    </row>
    <row r="1059" ht="24.0" customHeight="1">
      <c r="B1059" s="90"/>
      <c r="C1059" s="90"/>
      <c r="D1059" s="90"/>
      <c r="E1059" s="90"/>
      <c r="F1059" s="90"/>
      <c r="G1059" s="90"/>
      <c r="H1059" s="90"/>
      <c r="I1059" s="90"/>
      <c r="J1059" s="90"/>
      <c r="K1059" s="90"/>
      <c r="L1059" s="90"/>
      <c r="M1059" s="91"/>
      <c r="N1059" s="91"/>
      <c r="O1059" s="91"/>
      <c r="P1059" s="91"/>
      <c r="Q1059" s="91"/>
      <c r="R1059" s="91"/>
      <c r="S1059" s="91"/>
      <c r="T1059" s="91"/>
      <c r="U1059" s="91"/>
      <c r="V1059" s="91"/>
      <c r="W1059" s="91"/>
      <c r="X1059" s="91"/>
      <c r="Y1059" s="91"/>
      <c r="Z1059" s="91"/>
    </row>
    <row r="1060" ht="24.0" customHeight="1">
      <c r="B1060" s="90"/>
      <c r="C1060" s="90"/>
      <c r="D1060" s="90"/>
      <c r="E1060" s="90"/>
      <c r="F1060" s="90"/>
      <c r="G1060" s="90"/>
      <c r="H1060" s="90"/>
      <c r="I1060" s="90"/>
      <c r="J1060" s="90"/>
      <c r="K1060" s="90"/>
      <c r="L1060" s="90"/>
      <c r="M1060" s="91"/>
      <c r="N1060" s="91"/>
      <c r="O1060" s="91"/>
      <c r="P1060" s="91"/>
      <c r="Q1060" s="91"/>
      <c r="R1060" s="91"/>
      <c r="S1060" s="91"/>
      <c r="T1060" s="91"/>
      <c r="U1060" s="91"/>
      <c r="V1060" s="91"/>
      <c r="W1060" s="91"/>
      <c r="X1060" s="91"/>
      <c r="Y1060" s="91"/>
      <c r="Z1060" s="91"/>
    </row>
    <row r="1061" ht="24.0" customHeight="1">
      <c r="B1061" s="90"/>
      <c r="C1061" s="90"/>
      <c r="D1061" s="90"/>
      <c r="E1061" s="90"/>
      <c r="F1061" s="90"/>
      <c r="G1061" s="90"/>
      <c r="H1061" s="90"/>
      <c r="I1061" s="90"/>
      <c r="J1061" s="90"/>
      <c r="K1061" s="90"/>
      <c r="L1061" s="90"/>
      <c r="M1061" s="91"/>
      <c r="N1061" s="91"/>
      <c r="O1061" s="91"/>
      <c r="P1061" s="91"/>
      <c r="Q1061" s="91"/>
      <c r="R1061" s="91"/>
      <c r="S1061" s="91"/>
      <c r="T1061" s="91"/>
      <c r="U1061" s="91"/>
      <c r="V1061" s="91"/>
      <c r="W1061" s="91"/>
      <c r="X1061" s="91"/>
      <c r="Y1061" s="91"/>
      <c r="Z1061" s="91"/>
    </row>
    <row r="1062" ht="24.0" customHeight="1">
      <c r="B1062" s="90"/>
      <c r="C1062" s="90"/>
      <c r="D1062" s="90"/>
      <c r="E1062" s="90"/>
      <c r="F1062" s="90"/>
      <c r="G1062" s="90"/>
      <c r="H1062" s="90"/>
      <c r="I1062" s="90"/>
      <c r="J1062" s="90"/>
      <c r="K1062" s="90"/>
      <c r="L1062" s="90"/>
      <c r="M1062" s="91"/>
      <c r="N1062" s="91"/>
      <c r="O1062" s="91"/>
      <c r="P1062" s="91"/>
      <c r="Q1062" s="91"/>
      <c r="R1062" s="91"/>
      <c r="S1062" s="91"/>
      <c r="T1062" s="91"/>
      <c r="U1062" s="91"/>
      <c r="V1062" s="91"/>
      <c r="W1062" s="91"/>
      <c r="X1062" s="91"/>
      <c r="Y1062" s="91"/>
      <c r="Z1062" s="91"/>
    </row>
    <row r="1063" ht="24.0" customHeight="1">
      <c r="B1063" s="90"/>
      <c r="C1063" s="90"/>
      <c r="D1063" s="90"/>
      <c r="E1063" s="90"/>
      <c r="F1063" s="90"/>
      <c r="G1063" s="90"/>
      <c r="H1063" s="90"/>
      <c r="I1063" s="90"/>
      <c r="J1063" s="90"/>
      <c r="K1063" s="90"/>
      <c r="L1063" s="90"/>
      <c r="M1063" s="91"/>
      <c r="N1063" s="91"/>
      <c r="O1063" s="91"/>
      <c r="P1063" s="91"/>
      <c r="Q1063" s="91"/>
      <c r="R1063" s="91"/>
      <c r="S1063" s="91"/>
      <c r="T1063" s="91"/>
      <c r="U1063" s="91"/>
      <c r="V1063" s="91"/>
      <c r="W1063" s="91"/>
      <c r="X1063" s="91"/>
      <c r="Y1063" s="91"/>
      <c r="Z1063" s="91"/>
    </row>
    <row r="1064" ht="24.0" customHeight="1">
      <c r="B1064" s="90"/>
      <c r="C1064" s="90"/>
      <c r="D1064" s="90"/>
      <c r="E1064" s="90"/>
      <c r="F1064" s="90"/>
      <c r="G1064" s="90"/>
      <c r="H1064" s="90"/>
      <c r="I1064" s="90"/>
      <c r="J1064" s="90"/>
      <c r="K1064" s="90"/>
      <c r="L1064" s="90"/>
      <c r="M1064" s="91"/>
      <c r="N1064" s="91"/>
      <c r="O1064" s="91"/>
      <c r="P1064" s="91"/>
      <c r="Q1064" s="91"/>
      <c r="R1064" s="91"/>
      <c r="S1064" s="91"/>
      <c r="T1064" s="91"/>
      <c r="U1064" s="91"/>
      <c r="V1064" s="91"/>
      <c r="W1064" s="91"/>
      <c r="X1064" s="91"/>
      <c r="Y1064" s="91"/>
      <c r="Z1064" s="91"/>
    </row>
    <row r="1065" ht="24.0" customHeight="1">
      <c r="B1065" s="90"/>
      <c r="C1065" s="90"/>
      <c r="D1065" s="90"/>
      <c r="E1065" s="90"/>
      <c r="F1065" s="90"/>
      <c r="G1065" s="90"/>
      <c r="H1065" s="90"/>
      <c r="I1065" s="90"/>
      <c r="J1065" s="90"/>
      <c r="K1065" s="90"/>
      <c r="L1065" s="90"/>
      <c r="M1065" s="91"/>
      <c r="N1065" s="91"/>
      <c r="O1065" s="91"/>
      <c r="P1065" s="91"/>
      <c r="Q1065" s="91"/>
      <c r="R1065" s="91"/>
      <c r="S1065" s="91"/>
      <c r="T1065" s="91"/>
      <c r="U1065" s="91"/>
      <c r="V1065" s="91"/>
      <c r="W1065" s="91"/>
      <c r="X1065" s="91"/>
      <c r="Y1065" s="91"/>
      <c r="Z1065" s="91"/>
    </row>
    <row r="1066" ht="24.0" customHeight="1">
      <c r="B1066" s="90"/>
      <c r="C1066" s="90"/>
      <c r="D1066" s="90"/>
      <c r="E1066" s="90"/>
      <c r="F1066" s="90"/>
      <c r="G1066" s="90"/>
      <c r="H1066" s="90"/>
      <c r="I1066" s="90"/>
      <c r="J1066" s="90"/>
      <c r="K1066" s="90"/>
      <c r="L1066" s="90"/>
      <c r="M1066" s="91"/>
      <c r="N1066" s="91"/>
      <c r="O1066" s="91"/>
      <c r="P1066" s="91"/>
      <c r="Q1066" s="91"/>
      <c r="R1066" s="91"/>
      <c r="S1066" s="91"/>
      <c r="T1066" s="91"/>
      <c r="U1066" s="91"/>
      <c r="V1066" s="91"/>
      <c r="W1066" s="91"/>
      <c r="X1066" s="91"/>
      <c r="Y1066" s="91"/>
      <c r="Z1066" s="91"/>
    </row>
    <row r="1067" ht="24.0" customHeight="1">
      <c r="B1067" s="90"/>
      <c r="C1067" s="90"/>
      <c r="D1067" s="90"/>
      <c r="E1067" s="90"/>
      <c r="F1067" s="90"/>
      <c r="G1067" s="90"/>
      <c r="H1067" s="90"/>
      <c r="I1067" s="90"/>
      <c r="J1067" s="90"/>
      <c r="K1067" s="90"/>
      <c r="L1067" s="90"/>
      <c r="M1067" s="91"/>
      <c r="N1067" s="91"/>
      <c r="O1067" s="91"/>
      <c r="P1067" s="91"/>
      <c r="Q1067" s="91"/>
      <c r="R1067" s="91"/>
      <c r="S1067" s="91"/>
      <c r="T1067" s="91"/>
      <c r="U1067" s="91"/>
      <c r="V1067" s="91"/>
      <c r="W1067" s="91"/>
      <c r="X1067" s="91"/>
      <c r="Y1067" s="91"/>
      <c r="Z1067" s="91"/>
    </row>
    <row r="1068" ht="24.0" customHeight="1">
      <c r="B1068" s="90"/>
      <c r="C1068" s="90"/>
      <c r="D1068" s="90"/>
      <c r="E1068" s="90"/>
      <c r="F1068" s="90"/>
      <c r="G1068" s="90"/>
      <c r="H1068" s="90"/>
      <c r="I1068" s="90"/>
      <c r="J1068" s="90"/>
      <c r="K1068" s="90"/>
      <c r="L1068" s="90"/>
      <c r="M1068" s="91"/>
      <c r="N1068" s="91"/>
      <c r="O1068" s="91"/>
      <c r="P1068" s="91"/>
      <c r="Q1068" s="91"/>
      <c r="R1068" s="91"/>
      <c r="S1068" s="91"/>
      <c r="T1068" s="91"/>
      <c r="U1068" s="91"/>
      <c r="V1068" s="91"/>
      <c r="W1068" s="91"/>
      <c r="X1068" s="91"/>
      <c r="Y1068" s="91"/>
      <c r="Z1068" s="91"/>
    </row>
    <row r="1069" ht="24.0" customHeight="1">
      <c r="B1069" s="90"/>
      <c r="C1069" s="90"/>
      <c r="D1069" s="90"/>
      <c r="E1069" s="90"/>
      <c r="F1069" s="90"/>
      <c r="G1069" s="90"/>
      <c r="H1069" s="90"/>
      <c r="I1069" s="90"/>
      <c r="J1069" s="90"/>
      <c r="K1069" s="90"/>
      <c r="L1069" s="90"/>
      <c r="M1069" s="91"/>
      <c r="N1069" s="91"/>
      <c r="O1069" s="91"/>
      <c r="P1069" s="91"/>
      <c r="Q1069" s="91"/>
      <c r="R1069" s="91"/>
      <c r="S1069" s="91"/>
      <c r="T1069" s="91"/>
      <c r="U1069" s="91"/>
      <c r="V1069" s="91"/>
      <c r="W1069" s="91"/>
      <c r="X1069" s="91"/>
      <c r="Y1069" s="91"/>
      <c r="Z1069" s="91"/>
    </row>
    <row r="1070" ht="24.0" customHeight="1">
      <c r="B1070" s="90"/>
      <c r="C1070" s="90"/>
      <c r="D1070" s="90"/>
      <c r="E1070" s="90"/>
      <c r="F1070" s="90"/>
      <c r="G1070" s="90"/>
      <c r="H1070" s="90"/>
      <c r="I1070" s="90"/>
      <c r="J1070" s="90"/>
      <c r="K1070" s="90"/>
      <c r="L1070" s="90"/>
      <c r="M1070" s="91"/>
      <c r="N1070" s="91"/>
      <c r="O1070" s="91"/>
      <c r="P1070" s="91"/>
      <c r="Q1070" s="91"/>
      <c r="R1070" s="91"/>
      <c r="S1070" s="91"/>
      <c r="T1070" s="91"/>
      <c r="U1070" s="91"/>
      <c r="V1070" s="91"/>
      <c r="W1070" s="91"/>
      <c r="X1070" s="91"/>
      <c r="Y1070" s="91"/>
      <c r="Z1070" s="91"/>
    </row>
    <row r="1071" ht="24.0" customHeight="1">
      <c r="B1071" s="90"/>
      <c r="C1071" s="90"/>
      <c r="D1071" s="90"/>
      <c r="E1071" s="90"/>
      <c r="F1071" s="90"/>
      <c r="G1071" s="90"/>
      <c r="H1071" s="90"/>
      <c r="I1071" s="90"/>
      <c r="J1071" s="90"/>
      <c r="K1071" s="90"/>
      <c r="L1071" s="90"/>
      <c r="M1071" s="91"/>
      <c r="N1071" s="91"/>
      <c r="O1071" s="91"/>
      <c r="P1071" s="91"/>
      <c r="Q1071" s="91"/>
      <c r="R1071" s="91"/>
      <c r="S1071" s="91"/>
      <c r="T1071" s="91"/>
      <c r="U1071" s="91"/>
      <c r="V1071" s="91"/>
      <c r="W1071" s="91"/>
      <c r="X1071" s="91"/>
      <c r="Y1071" s="91"/>
      <c r="Z1071" s="91"/>
    </row>
    <row r="1072" ht="24.0" customHeight="1">
      <c r="B1072" s="90"/>
      <c r="C1072" s="90"/>
      <c r="D1072" s="90"/>
      <c r="E1072" s="90"/>
      <c r="F1072" s="90"/>
      <c r="G1072" s="90"/>
      <c r="H1072" s="90"/>
      <c r="I1072" s="90"/>
      <c r="J1072" s="90"/>
      <c r="K1072" s="90"/>
      <c r="L1072" s="90"/>
      <c r="M1072" s="91"/>
      <c r="N1072" s="91"/>
      <c r="O1072" s="91"/>
      <c r="P1072" s="91"/>
      <c r="Q1072" s="91"/>
      <c r="R1072" s="91"/>
      <c r="S1072" s="91"/>
      <c r="T1072" s="91"/>
      <c r="U1072" s="91"/>
      <c r="V1072" s="91"/>
      <c r="W1072" s="91"/>
      <c r="X1072" s="91"/>
      <c r="Y1072" s="91"/>
      <c r="Z1072" s="91"/>
    </row>
    <row r="1073" ht="24.0" customHeight="1">
      <c r="B1073" s="90"/>
      <c r="C1073" s="90"/>
      <c r="D1073" s="90"/>
      <c r="E1073" s="90"/>
      <c r="F1073" s="90"/>
      <c r="G1073" s="90"/>
      <c r="H1073" s="90"/>
      <c r="I1073" s="90"/>
      <c r="J1073" s="90"/>
      <c r="K1073" s="90"/>
      <c r="L1073" s="90"/>
      <c r="M1073" s="91"/>
      <c r="N1073" s="91"/>
      <c r="O1073" s="91"/>
      <c r="P1073" s="91"/>
      <c r="Q1073" s="91"/>
      <c r="R1073" s="91"/>
      <c r="S1073" s="91"/>
      <c r="T1073" s="91"/>
      <c r="U1073" s="91"/>
      <c r="V1073" s="91"/>
      <c r="W1073" s="91"/>
      <c r="X1073" s="91"/>
      <c r="Y1073" s="91"/>
      <c r="Z1073" s="91"/>
    </row>
    <row r="1074" ht="24.0" customHeight="1">
      <c r="B1074" s="90"/>
      <c r="C1074" s="90"/>
      <c r="D1074" s="90"/>
      <c r="E1074" s="90"/>
      <c r="F1074" s="90"/>
      <c r="G1074" s="90"/>
      <c r="H1074" s="90"/>
      <c r="I1074" s="90"/>
      <c r="J1074" s="90"/>
      <c r="K1074" s="90"/>
      <c r="L1074" s="90"/>
      <c r="M1074" s="91"/>
      <c r="N1074" s="91"/>
      <c r="O1074" s="91"/>
      <c r="P1074" s="91"/>
      <c r="Q1074" s="91"/>
      <c r="R1074" s="91"/>
      <c r="S1074" s="91"/>
      <c r="T1074" s="91"/>
      <c r="U1074" s="91"/>
      <c r="V1074" s="91"/>
      <c r="W1074" s="91"/>
      <c r="X1074" s="91"/>
      <c r="Y1074" s="91"/>
      <c r="Z1074" s="91"/>
    </row>
    <row r="1075" ht="24.0" customHeight="1">
      <c r="B1075" s="90"/>
      <c r="C1075" s="90"/>
      <c r="D1075" s="90"/>
      <c r="E1075" s="90"/>
      <c r="F1075" s="90"/>
      <c r="G1075" s="90"/>
      <c r="H1075" s="90"/>
      <c r="I1075" s="90"/>
      <c r="J1075" s="90"/>
      <c r="K1075" s="90"/>
      <c r="L1075" s="90"/>
      <c r="M1075" s="91"/>
      <c r="N1075" s="91"/>
      <c r="O1075" s="91"/>
      <c r="P1075" s="91"/>
      <c r="Q1075" s="91"/>
      <c r="R1075" s="91"/>
      <c r="S1075" s="91"/>
      <c r="T1075" s="91"/>
      <c r="U1075" s="91"/>
      <c r="V1075" s="91"/>
      <c r="W1075" s="91"/>
      <c r="X1075" s="91"/>
      <c r="Y1075" s="91"/>
      <c r="Z1075" s="91"/>
    </row>
    <row r="1076" ht="24.0" customHeight="1">
      <c r="B1076" s="90"/>
      <c r="C1076" s="90"/>
      <c r="D1076" s="90"/>
      <c r="E1076" s="90"/>
      <c r="F1076" s="90"/>
      <c r="G1076" s="90"/>
      <c r="H1076" s="90"/>
      <c r="I1076" s="90"/>
      <c r="J1076" s="90"/>
      <c r="K1076" s="90"/>
      <c r="L1076" s="90"/>
      <c r="M1076" s="91"/>
      <c r="N1076" s="91"/>
      <c r="O1076" s="91"/>
      <c r="P1076" s="91"/>
      <c r="Q1076" s="91"/>
      <c r="R1076" s="91"/>
      <c r="S1076" s="91"/>
      <c r="T1076" s="91"/>
      <c r="U1076" s="91"/>
      <c r="V1076" s="91"/>
      <c r="W1076" s="91"/>
      <c r="X1076" s="91"/>
      <c r="Y1076" s="91"/>
      <c r="Z1076" s="91"/>
    </row>
    <row r="1077" ht="24.0" customHeight="1">
      <c r="B1077" s="90"/>
      <c r="C1077" s="90"/>
      <c r="D1077" s="90"/>
      <c r="E1077" s="90"/>
      <c r="F1077" s="90"/>
      <c r="G1077" s="90"/>
      <c r="H1077" s="90"/>
      <c r="I1077" s="90"/>
      <c r="J1077" s="90"/>
      <c r="K1077" s="90"/>
      <c r="L1077" s="90"/>
      <c r="M1077" s="91"/>
      <c r="N1077" s="91"/>
      <c r="O1077" s="91"/>
      <c r="P1077" s="91"/>
      <c r="Q1077" s="91"/>
      <c r="R1077" s="91"/>
      <c r="S1077" s="91"/>
      <c r="T1077" s="91"/>
      <c r="U1077" s="91"/>
      <c r="V1077" s="91"/>
      <c r="W1077" s="91"/>
      <c r="X1077" s="91"/>
      <c r="Y1077" s="91"/>
      <c r="Z1077" s="91"/>
    </row>
    <row r="1078" ht="24.0" customHeight="1">
      <c r="B1078" s="90"/>
      <c r="C1078" s="90"/>
      <c r="D1078" s="90"/>
      <c r="E1078" s="90"/>
      <c r="F1078" s="90"/>
      <c r="G1078" s="90"/>
      <c r="H1078" s="90"/>
      <c r="I1078" s="90"/>
      <c r="J1078" s="90"/>
      <c r="K1078" s="90"/>
      <c r="L1078" s="90"/>
      <c r="M1078" s="91"/>
      <c r="N1078" s="91"/>
      <c r="O1078" s="91"/>
      <c r="P1078" s="91"/>
      <c r="Q1078" s="91"/>
      <c r="R1078" s="91"/>
      <c r="S1078" s="91"/>
      <c r="T1078" s="91"/>
      <c r="U1078" s="91"/>
      <c r="V1078" s="91"/>
      <c r="W1078" s="91"/>
      <c r="X1078" s="91"/>
      <c r="Y1078" s="91"/>
      <c r="Z1078" s="91"/>
    </row>
    <row r="1079" ht="24.0" customHeight="1">
      <c r="B1079" s="90"/>
      <c r="C1079" s="90"/>
      <c r="D1079" s="90"/>
      <c r="E1079" s="90"/>
      <c r="F1079" s="90"/>
      <c r="G1079" s="90"/>
      <c r="H1079" s="90"/>
      <c r="I1079" s="90"/>
      <c r="J1079" s="90"/>
      <c r="K1079" s="90"/>
      <c r="L1079" s="90"/>
      <c r="M1079" s="91"/>
      <c r="N1079" s="91"/>
      <c r="O1079" s="91"/>
      <c r="P1079" s="91"/>
      <c r="Q1079" s="91"/>
      <c r="R1079" s="91"/>
      <c r="S1079" s="91"/>
      <c r="T1079" s="91"/>
      <c r="U1079" s="91"/>
      <c r="V1079" s="91"/>
      <c r="W1079" s="91"/>
      <c r="X1079" s="91"/>
      <c r="Y1079" s="91"/>
      <c r="Z1079" s="91"/>
    </row>
    <row r="1080" ht="24.0" customHeight="1">
      <c r="B1080" s="90"/>
      <c r="C1080" s="90"/>
      <c r="D1080" s="90"/>
      <c r="E1080" s="90"/>
      <c r="F1080" s="90"/>
      <c r="G1080" s="90"/>
      <c r="H1080" s="90"/>
      <c r="I1080" s="90"/>
      <c r="J1080" s="90"/>
      <c r="K1080" s="90"/>
      <c r="L1080" s="90"/>
      <c r="M1080" s="91"/>
      <c r="N1080" s="91"/>
      <c r="O1080" s="91"/>
      <c r="P1080" s="91"/>
      <c r="Q1080" s="91"/>
      <c r="R1080" s="91"/>
      <c r="S1080" s="91"/>
      <c r="T1080" s="91"/>
      <c r="U1080" s="91"/>
      <c r="V1080" s="91"/>
      <c r="W1080" s="91"/>
      <c r="X1080" s="91"/>
      <c r="Y1080" s="91"/>
      <c r="Z1080" s="91"/>
    </row>
    <row r="1081" ht="24.0" customHeight="1">
      <c r="B1081" s="90"/>
      <c r="C1081" s="90"/>
      <c r="D1081" s="90"/>
      <c r="E1081" s="90"/>
      <c r="F1081" s="90"/>
      <c r="G1081" s="90"/>
      <c r="H1081" s="90"/>
      <c r="I1081" s="90"/>
      <c r="J1081" s="90"/>
      <c r="K1081" s="90"/>
      <c r="L1081" s="90"/>
      <c r="M1081" s="91"/>
      <c r="N1081" s="91"/>
      <c r="O1081" s="91"/>
      <c r="P1081" s="91"/>
      <c r="Q1081" s="91"/>
      <c r="R1081" s="91"/>
      <c r="S1081" s="91"/>
      <c r="T1081" s="91"/>
      <c r="U1081" s="91"/>
      <c r="V1081" s="91"/>
      <c r="W1081" s="91"/>
      <c r="X1081" s="91"/>
      <c r="Y1081" s="91"/>
      <c r="Z1081" s="91"/>
    </row>
    <row r="1082" ht="24.0" customHeight="1">
      <c r="B1082" s="90"/>
      <c r="C1082" s="90"/>
      <c r="D1082" s="90"/>
      <c r="E1082" s="90"/>
      <c r="F1082" s="90"/>
      <c r="G1082" s="90"/>
      <c r="H1082" s="90"/>
      <c r="I1082" s="90"/>
      <c r="J1082" s="90"/>
      <c r="K1082" s="90"/>
      <c r="L1082" s="90"/>
      <c r="M1082" s="91"/>
      <c r="N1082" s="91"/>
      <c r="O1082" s="91"/>
      <c r="P1082" s="91"/>
      <c r="Q1082" s="91"/>
      <c r="R1082" s="91"/>
      <c r="S1082" s="91"/>
      <c r="T1082" s="91"/>
      <c r="U1082" s="91"/>
      <c r="V1082" s="91"/>
      <c r="W1082" s="91"/>
      <c r="X1082" s="91"/>
      <c r="Y1082" s="91"/>
      <c r="Z1082" s="91"/>
    </row>
    <row r="1083" ht="24.0" customHeight="1">
      <c r="B1083" s="90"/>
      <c r="C1083" s="90"/>
      <c r="D1083" s="90"/>
      <c r="E1083" s="90"/>
      <c r="F1083" s="90"/>
      <c r="G1083" s="90"/>
      <c r="H1083" s="90"/>
      <c r="I1083" s="90"/>
      <c r="J1083" s="90"/>
      <c r="K1083" s="90"/>
      <c r="L1083" s="90"/>
      <c r="M1083" s="91"/>
      <c r="N1083" s="91"/>
      <c r="O1083" s="91"/>
      <c r="P1083" s="91"/>
      <c r="Q1083" s="91"/>
      <c r="R1083" s="91"/>
      <c r="S1083" s="91"/>
      <c r="T1083" s="91"/>
      <c r="U1083" s="91"/>
      <c r="V1083" s="91"/>
      <c r="W1083" s="91"/>
      <c r="X1083" s="91"/>
      <c r="Y1083" s="91"/>
      <c r="Z1083" s="91"/>
    </row>
    <row r="1084" ht="24.0" customHeight="1">
      <c r="B1084" s="90"/>
      <c r="C1084" s="90"/>
      <c r="D1084" s="90"/>
      <c r="E1084" s="90"/>
      <c r="F1084" s="90"/>
      <c r="G1084" s="90"/>
      <c r="H1084" s="90"/>
      <c r="I1084" s="90"/>
      <c r="J1084" s="90"/>
      <c r="K1084" s="90"/>
      <c r="L1084" s="90"/>
      <c r="M1084" s="91"/>
      <c r="N1084" s="91"/>
      <c r="O1084" s="91"/>
      <c r="P1084" s="91"/>
      <c r="Q1084" s="91"/>
      <c r="R1084" s="91"/>
      <c r="S1084" s="91"/>
      <c r="T1084" s="91"/>
      <c r="U1084" s="91"/>
      <c r="V1084" s="91"/>
      <c r="W1084" s="91"/>
      <c r="X1084" s="91"/>
      <c r="Y1084" s="91"/>
      <c r="Z1084" s="91"/>
    </row>
    <row r="1085" ht="24.0" customHeight="1">
      <c r="B1085" s="90"/>
      <c r="C1085" s="90"/>
      <c r="D1085" s="90"/>
      <c r="E1085" s="90"/>
      <c r="F1085" s="90"/>
      <c r="G1085" s="90"/>
      <c r="H1085" s="90"/>
      <c r="I1085" s="90"/>
      <c r="J1085" s="90"/>
      <c r="K1085" s="90"/>
      <c r="L1085" s="90"/>
      <c r="M1085" s="91"/>
      <c r="N1085" s="91"/>
      <c r="O1085" s="91"/>
      <c r="P1085" s="91"/>
      <c r="Q1085" s="91"/>
      <c r="R1085" s="91"/>
      <c r="S1085" s="91"/>
      <c r="T1085" s="91"/>
      <c r="U1085" s="91"/>
      <c r="V1085" s="91"/>
      <c r="W1085" s="91"/>
      <c r="X1085" s="91"/>
      <c r="Y1085" s="91"/>
      <c r="Z1085" s="91"/>
    </row>
    <row r="1086" ht="24.0" customHeight="1">
      <c r="B1086" s="90"/>
      <c r="C1086" s="90"/>
      <c r="D1086" s="90"/>
      <c r="E1086" s="90"/>
      <c r="F1086" s="90"/>
      <c r="G1086" s="90"/>
      <c r="H1086" s="90"/>
      <c r="I1086" s="90"/>
      <c r="J1086" s="90"/>
      <c r="K1086" s="90"/>
      <c r="L1086" s="90"/>
      <c r="M1086" s="91"/>
      <c r="N1086" s="91"/>
      <c r="O1086" s="91"/>
      <c r="P1086" s="91"/>
      <c r="Q1086" s="91"/>
      <c r="R1086" s="91"/>
      <c r="S1086" s="91"/>
      <c r="T1086" s="91"/>
      <c r="U1086" s="91"/>
      <c r="V1086" s="91"/>
      <c r="W1086" s="91"/>
      <c r="X1086" s="91"/>
      <c r="Y1086" s="91"/>
      <c r="Z1086" s="91"/>
    </row>
    <row r="1087" ht="24.0" customHeight="1">
      <c r="B1087" s="90"/>
      <c r="C1087" s="90"/>
      <c r="D1087" s="90"/>
      <c r="E1087" s="90"/>
      <c r="F1087" s="90"/>
      <c r="G1087" s="90"/>
      <c r="H1087" s="90"/>
      <c r="I1087" s="90"/>
      <c r="J1087" s="90"/>
      <c r="K1087" s="90"/>
      <c r="L1087" s="90"/>
      <c r="M1087" s="91"/>
      <c r="N1087" s="91"/>
      <c r="O1087" s="91"/>
      <c r="P1087" s="91"/>
      <c r="Q1087" s="91"/>
      <c r="R1087" s="91"/>
      <c r="S1087" s="91"/>
      <c r="T1087" s="91"/>
      <c r="U1087" s="91"/>
      <c r="V1087" s="91"/>
      <c r="W1087" s="91"/>
      <c r="X1087" s="91"/>
      <c r="Y1087" s="91"/>
      <c r="Z1087" s="91"/>
    </row>
    <row r="1088" ht="24.0" customHeight="1">
      <c r="B1088" s="90"/>
      <c r="C1088" s="90"/>
      <c r="D1088" s="90"/>
      <c r="E1088" s="90"/>
      <c r="F1088" s="90"/>
      <c r="G1088" s="90"/>
      <c r="H1088" s="90"/>
      <c r="I1088" s="90"/>
      <c r="J1088" s="90"/>
      <c r="K1088" s="90"/>
      <c r="L1088" s="90"/>
      <c r="M1088" s="91"/>
      <c r="N1088" s="91"/>
      <c r="O1088" s="91"/>
      <c r="P1088" s="91"/>
      <c r="Q1088" s="91"/>
      <c r="R1088" s="91"/>
      <c r="S1088" s="91"/>
      <c r="T1088" s="91"/>
      <c r="U1088" s="91"/>
      <c r="V1088" s="91"/>
      <c r="W1088" s="91"/>
      <c r="X1088" s="91"/>
      <c r="Y1088" s="91"/>
      <c r="Z1088" s="91"/>
    </row>
    <row r="1089" ht="24.0" customHeight="1">
      <c r="B1089" s="90"/>
      <c r="C1089" s="90"/>
      <c r="D1089" s="90"/>
      <c r="E1089" s="90"/>
      <c r="F1089" s="90"/>
      <c r="G1089" s="90"/>
      <c r="H1089" s="90"/>
      <c r="I1089" s="90"/>
      <c r="J1089" s="90"/>
      <c r="K1089" s="90"/>
      <c r="L1089" s="90"/>
      <c r="M1089" s="91"/>
      <c r="N1089" s="91"/>
      <c r="O1089" s="91"/>
      <c r="P1089" s="91"/>
      <c r="Q1089" s="91"/>
      <c r="R1089" s="91"/>
      <c r="S1089" s="91"/>
      <c r="T1089" s="91"/>
      <c r="U1089" s="91"/>
      <c r="V1089" s="91"/>
      <c r="W1089" s="91"/>
      <c r="X1089" s="91"/>
      <c r="Y1089" s="91"/>
      <c r="Z1089" s="91"/>
    </row>
    <row r="1090" ht="24.0" customHeight="1">
      <c r="B1090" s="90"/>
      <c r="C1090" s="90"/>
      <c r="D1090" s="90"/>
      <c r="E1090" s="90"/>
      <c r="F1090" s="90"/>
      <c r="G1090" s="90"/>
      <c r="H1090" s="90"/>
      <c r="I1090" s="90"/>
      <c r="J1090" s="90"/>
      <c r="K1090" s="90"/>
      <c r="L1090" s="90"/>
      <c r="M1090" s="91"/>
      <c r="N1090" s="91"/>
      <c r="O1090" s="91"/>
      <c r="P1090" s="91"/>
      <c r="Q1090" s="91"/>
      <c r="R1090" s="91"/>
      <c r="S1090" s="91"/>
      <c r="T1090" s="91"/>
      <c r="U1090" s="91"/>
      <c r="V1090" s="91"/>
      <c r="W1090" s="91"/>
      <c r="X1090" s="91"/>
      <c r="Y1090" s="91"/>
      <c r="Z1090" s="91"/>
    </row>
    <row r="1091" ht="24.0" customHeight="1">
      <c r="B1091" s="90"/>
      <c r="C1091" s="90"/>
      <c r="D1091" s="90"/>
      <c r="E1091" s="90"/>
      <c r="F1091" s="90"/>
      <c r="G1091" s="90"/>
      <c r="H1091" s="90"/>
      <c r="I1091" s="90"/>
      <c r="J1091" s="90"/>
      <c r="K1091" s="90"/>
      <c r="L1091" s="90"/>
      <c r="M1091" s="91"/>
      <c r="N1091" s="91"/>
      <c r="O1091" s="91"/>
      <c r="P1091" s="91"/>
      <c r="Q1091" s="91"/>
      <c r="R1091" s="91"/>
      <c r="S1091" s="91"/>
      <c r="T1091" s="91"/>
      <c r="U1091" s="91"/>
      <c r="V1091" s="91"/>
      <c r="W1091" s="91"/>
      <c r="X1091" s="91"/>
      <c r="Y1091" s="91"/>
      <c r="Z1091" s="91"/>
    </row>
    <row r="1092" ht="24.0" customHeight="1">
      <c r="B1092" s="90"/>
      <c r="C1092" s="90"/>
      <c r="D1092" s="90"/>
      <c r="E1092" s="90"/>
      <c r="F1092" s="90"/>
      <c r="G1092" s="90"/>
      <c r="H1092" s="90"/>
      <c r="I1092" s="90"/>
      <c r="J1092" s="90"/>
      <c r="K1092" s="90"/>
      <c r="L1092" s="90"/>
      <c r="M1092" s="91"/>
      <c r="N1092" s="91"/>
      <c r="O1092" s="91"/>
      <c r="P1092" s="91"/>
      <c r="Q1092" s="91"/>
      <c r="R1092" s="91"/>
      <c r="S1092" s="91"/>
      <c r="T1092" s="91"/>
      <c r="U1092" s="91"/>
      <c r="V1092" s="91"/>
      <c r="W1092" s="91"/>
      <c r="X1092" s="91"/>
      <c r="Y1092" s="91"/>
      <c r="Z1092" s="91"/>
    </row>
    <row r="1093" ht="24.0" customHeight="1">
      <c r="B1093" s="90"/>
      <c r="C1093" s="90"/>
      <c r="D1093" s="90"/>
      <c r="E1093" s="90"/>
      <c r="F1093" s="90"/>
      <c r="G1093" s="90"/>
      <c r="H1093" s="90"/>
      <c r="I1093" s="90"/>
      <c r="J1093" s="90"/>
      <c r="K1093" s="90"/>
      <c r="L1093" s="90"/>
      <c r="M1093" s="91"/>
      <c r="N1093" s="91"/>
      <c r="O1093" s="91"/>
      <c r="P1093" s="91"/>
      <c r="Q1093" s="91"/>
      <c r="R1093" s="91"/>
      <c r="S1093" s="91"/>
      <c r="T1093" s="91"/>
      <c r="U1093" s="91"/>
      <c r="V1093" s="91"/>
      <c r="W1093" s="91"/>
      <c r="X1093" s="91"/>
      <c r="Y1093" s="91"/>
      <c r="Z1093" s="91"/>
    </row>
    <row r="1094" ht="24.0" customHeight="1">
      <c r="B1094" s="90"/>
      <c r="C1094" s="90"/>
      <c r="D1094" s="90"/>
      <c r="E1094" s="90"/>
      <c r="F1094" s="90"/>
      <c r="G1094" s="90"/>
      <c r="H1094" s="90"/>
      <c r="I1094" s="90"/>
      <c r="J1094" s="90"/>
      <c r="K1094" s="90"/>
      <c r="L1094" s="90"/>
      <c r="M1094" s="91"/>
      <c r="N1094" s="91"/>
      <c r="O1094" s="91"/>
      <c r="P1094" s="91"/>
      <c r="Q1094" s="91"/>
      <c r="R1094" s="91"/>
      <c r="S1094" s="91"/>
      <c r="T1094" s="91"/>
      <c r="U1094" s="91"/>
      <c r="V1094" s="91"/>
      <c r="W1094" s="91"/>
      <c r="X1094" s="91"/>
      <c r="Y1094" s="91"/>
      <c r="Z1094" s="91"/>
    </row>
    <row r="1095" ht="24.0" customHeight="1">
      <c r="B1095" s="90"/>
      <c r="C1095" s="90"/>
      <c r="D1095" s="90"/>
      <c r="E1095" s="90"/>
      <c r="F1095" s="90"/>
      <c r="G1095" s="90"/>
      <c r="H1095" s="90"/>
      <c r="I1095" s="90"/>
      <c r="J1095" s="90"/>
      <c r="K1095" s="90"/>
      <c r="L1095" s="90"/>
      <c r="M1095" s="91"/>
      <c r="N1095" s="91"/>
      <c r="O1095" s="91"/>
      <c r="P1095" s="91"/>
      <c r="Q1095" s="91"/>
      <c r="R1095" s="91"/>
      <c r="S1095" s="91"/>
      <c r="T1095" s="91"/>
      <c r="U1095" s="91"/>
      <c r="V1095" s="91"/>
      <c r="W1095" s="91"/>
      <c r="X1095" s="91"/>
      <c r="Y1095" s="91"/>
      <c r="Z1095" s="91"/>
    </row>
    <row r="1096" ht="24.0" customHeight="1">
      <c r="B1096" s="90"/>
      <c r="C1096" s="90"/>
      <c r="D1096" s="90"/>
      <c r="E1096" s="90"/>
      <c r="F1096" s="90"/>
      <c r="G1096" s="90"/>
      <c r="H1096" s="90"/>
      <c r="I1096" s="90"/>
      <c r="J1096" s="90"/>
      <c r="K1096" s="90"/>
      <c r="L1096" s="90"/>
      <c r="M1096" s="91"/>
      <c r="N1096" s="91"/>
      <c r="O1096" s="91"/>
      <c r="P1096" s="91"/>
      <c r="Q1096" s="91"/>
      <c r="R1096" s="91"/>
      <c r="S1096" s="91"/>
      <c r="T1096" s="91"/>
      <c r="U1096" s="91"/>
      <c r="V1096" s="91"/>
      <c r="W1096" s="91"/>
      <c r="X1096" s="91"/>
      <c r="Y1096" s="91"/>
      <c r="Z1096" s="91"/>
    </row>
    <row r="1097" ht="24.0" customHeight="1">
      <c r="B1097" s="90"/>
      <c r="C1097" s="90"/>
      <c r="D1097" s="90"/>
      <c r="E1097" s="90"/>
      <c r="F1097" s="90"/>
      <c r="G1097" s="90"/>
      <c r="H1097" s="90"/>
      <c r="I1097" s="90"/>
      <c r="J1097" s="90"/>
      <c r="K1097" s="90"/>
      <c r="L1097" s="90"/>
      <c r="M1097" s="91"/>
      <c r="N1097" s="91"/>
      <c r="O1097" s="91"/>
      <c r="P1097" s="91"/>
      <c r="Q1097" s="91"/>
      <c r="R1097" s="91"/>
      <c r="S1097" s="91"/>
      <c r="T1097" s="91"/>
      <c r="U1097" s="91"/>
      <c r="V1097" s="91"/>
      <c r="W1097" s="91"/>
      <c r="X1097" s="91"/>
      <c r="Y1097" s="91"/>
      <c r="Z1097" s="91"/>
    </row>
    <row r="1098" ht="24.0" customHeight="1">
      <c r="B1098" s="90"/>
      <c r="C1098" s="90"/>
      <c r="D1098" s="90"/>
      <c r="E1098" s="90"/>
      <c r="F1098" s="90"/>
      <c r="G1098" s="90"/>
      <c r="H1098" s="90"/>
      <c r="I1098" s="90"/>
      <c r="J1098" s="90"/>
      <c r="K1098" s="90"/>
      <c r="L1098" s="90"/>
      <c r="M1098" s="91"/>
      <c r="N1098" s="91"/>
      <c r="O1098" s="91"/>
      <c r="P1098" s="91"/>
      <c r="Q1098" s="91"/>
      <c r="R1098" s="91"/>
      <c r="S1098" s="91"/>
      <c r="T1098" s="91"/>
      <c r="U1098" s="91"/>
      <c r="V1098" s="91"/>
      <c r="W1098" s="91"/>
      <c r="X1098" s="91"/>
      <c r="Y1098" s="91"/>
      <c r="Z1098" s="91"/>
    </row>
    <row r="1099" ht="24.0" customHeight="1">
      <c r="B1099" s="90"/>
      <c r="C1099" s="90"/>
      <c r="D1099" s="90"/>
      <c r="E1099" s="90"/>
      <c r="F1099" s="90"/>
      <c r="G1099" s="90"/>
      <c r="H1099" s="90"/>
      <c r="I1099" s="90"/>
      <c r="J1099" s="90"/>
      <c r="K1099" s="90"/>
      <c r="L1099" s="90"/>
      <c r="M1099" s="91"/>
      <c r="N1099" s="91"/>
      <c r="O1099" s="91"/>
      <c r="P1099" s="91"/>
      <c r="Q1099" s="91"/>
      <c r="R1099" s="91"/>
      <c r="S1099" s="91"/>
      <c r="T1099" s="91"/>
      <c r="U1099" s="91"/>
      <c r="V1099" s="91"/>
      <c r="W1099" s="91"/>
      <c r="X1099" s="91"/>
      <c r="Y1099" s="91"/>
      <c r="Z1099" s="91"/>
    </row>
    <row r="1100" ht="24.0" customHeight="1">
      <c r="B1100" s="90"/>
      <c r="C1100" s="90"/>
      <c r="D1100" s="90"/>
      <c r="E1100" s="90"/>
      <c r="F1100" s="90"/>
      <c r="G1100" s="90"/>
      <c r="H1100" s="90"/>
      <c r="I1100" s="90"/>
      <c r="J1100" s="90"/>
      <c r="K1100" s="90"/>
      <c r="L1100" s="90"/>
      <c r="M1100" s="91"/>
      <c r="N1100" s="91"/>
      <c r="O1100" s="91"/>
      <c r="P1100" s="91"/>
      <c r="Q1100" s="91"/>
      <c r="R1100" s="91"/>
      <c r="S1100" s="91"/>
      <c r="T1100" s="91"/>
      <c r="U1100" s="91"/>
      <c r="V1100" s="91"/>
      <c r="W1100" s="91"/>
      <c r="X1100" s="91"/>
      <c r="Y1100" s="91"/>
      <c r="Z1100" s="91"/>
    </row>
  </sheetData>
  <autoFilter ref="$A$1:$A$1100"/>
  <mergeCells count="19">
    <mergeCell ref="B2:L2"/>
    <mergeCell ref="B4:C4"/>
    <mergeCell ref="B7:K7"/>
    <mergeCell ref="B8:K8"/>
    <mergeCell ref="B48:K48"/>
    <mergeCell ref="B49:K49"/>
    <mergeCell ref="H58:H60"/>
    <mergeCell ref="H197:H201"/>
    <mergeCell ref="B202:K202"/>
    <mergeCell ref="B203:K203"/>
    <mergeCell ref="B218:K218"/>
    <mergeCell ref="B219:K219"/>
    <mergeCell ref="B74:K74"/>
    <mergeCell ref="B75:K75"/>
    <mergeCell ref="B84:K84"/>
    <mergeCell ref="B85:K85"/>
    <mergeCell ref="H91:H95"/>
    <mergeCell ref="H110:H116"/>
    <mergeCell ref="H185:H192"/>
  </mergeCells>
  <conditionalFormatting sqref="L1:L1100">
    <cfRule type="containsText" dxfId="0" priority="1" operator="containsText" text="NA">
      <formula>NOT(ISERROR(SEARCH(("NA"),(L1))))</formula>
    </cfRule>
  </conditionalFormatting>
  <conditionalFormatting sqref="L1:L1100">
    <cfRule type="containsText" dxfId="1" priority="2" operator="containsText" text="Not Implemented">
      <formula>NOT(ISERROR(SEARCH(("Not Implemented"),(L1))))</formula>
    </cfRule>
  </conditionalFormatting>
  <conditionalFormatting sqref="L9:L1100">
    <cfRule type="containsText" dxfId="2" priority="3" operator="containsText" text="Implemented">
      <formula>NOT(ISERROR(SEARCH(("Implemented"),(L9))))</formula>
    </cfRule>
  </conditionalFormatting>
  <dataValidations>
    <dataValidation type="list" allowBlank="1" showErrorMessage="1" sqref="L1 L3:L1100">
      <formula1>"Implemented,Not Implemented,NA"</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2022-10-05T11:11:24Z</dcterms:created>
  <dc:creator>Risk 2</dc:creator>
</cp:coreProperties>
</file>